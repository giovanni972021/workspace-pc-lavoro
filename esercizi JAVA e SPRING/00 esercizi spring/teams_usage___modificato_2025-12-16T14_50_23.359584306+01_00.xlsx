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workspace\"/>
    </mc:Choice>
  </mc:AlternateContent>
  <xr:revisionPtr revIDLastSave="0" documentId="8_{9C1AB429-6094-49B6-B2AF-250AECA74C4D}" xr6:coauthVersionLast="47" xr6:coauthVersionMax="47" xr10:uidLastSave="{00000000-0000-0000-0000-000000000000}"/>
  <bookViews>
    <workbookView xWindow="-109" yWindow="-109" windowWidth="26301" windowHeight="14169" xr2:uid="{00000000-000D-0000-FFFF-FFFF00000000}"/>
  </bookViews>
  <sheets>
    <sheet name="Foglio3" sheetId="4" r:id="rId1"/>
    <sheet name="Risultato della query" sheetId="1" r:id="rId2"/>
  </sheets>
  <definedNames>
    <definedName name="_xlnm._FilterDatabase" localSheetId="1" hidden="1">'Risultato della query'!$A$1:$J$1</definedName>
  </definedNames>
  <calcPr calcId="191029"/>
  <pivotCaches>
    <pivotCache cacheId="3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" i="4" l="1" a="1"/>
  <c r="M4" i="4" s="1"/>
  <c r="K5" i="4"/>
  <c r="K6" i="4"/>
  <c r="K7" i="4"/>
  <c r="K4" i="4"/>
  <c r="J4" i="4" a="1"/>
  <c r="J4" i="4" s="1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4" i="4"/>
  <c r="F5" i="4"/>
  <c r="F21" i="4"/>
  <c r="F37" i="4"/>
  <c r="F53" i="4"/>
  <c r="F24" i="4"/>
  <c r="F11" i="4"/>
  <c r="F45" i="4"/>
  <c r="F15" i="4"/>
  <c r="F33" i="4"/>
  <c r="F19" i="4"/>
  <c r="F6" i="4"/>
  <c r="F22" i="4"/>
  <c r="F38" i="4"/>
  <c r="F54" i="4"/>
  <c r="F27" i="4"/>
  <c r="F13" i="4"/>
  <c r="F47" i="4"/>
  <c r="F17" i="4"/>
  <c r="F35" i="4"/>
  <c r="F7" i="4"/>
  <c r="F23" i="4"/>
  <c r="F39" i="4"/>
  <c r="F55" i="4"/>
  <c r="F41" i="4"/>
  <c r="F44" i="4"/>
  <c r="F14" i="4"/>
  <c r="F49" i="4"/>
  <c r="F51" i="4"/>
  <c r="F8" i="4"/>
  <c r="F40" i="4"/>
  <c r="F28" i="4"/>
  <c r="F46" i="4"/>
  <c r="F32" i="4"/>
  <c r="F50" i="4"/>
  <c r="F20" i="4"/>
  <c r="F9" i="4"/>
  <c r="F25" i="4"/>
  <c r="F12" i="4"/>
  <c r="F30" i="4"/>
  <c r="F16" i="4"/>
  <c r="F18" i="4"/>
  <c r="F52" i="4"/>
  <c r="F10" i="4"/>
  <c r="F26" i="4"/>
  <c r="F42" i="4"/>
  <c r="F43" i="4"/>
  <c r="F29" i="4"/>
  <c r="F31" i="4"/>
  <c r="F48" i="4"/>
  <c r="F34" i="4"/>
  <c r="F36" i="4"/>
  <c r="F4" i="4"/>
  <c r="G10" i="4"/>
  <c r="H15" i="4"/>
  <c r="G26" i="4"/>
  <c r="H31" i="4"/>
  <c r="G42" i="4"/>
  <c r="H47" i="4"/>
  <c r="G33" i="4"/>
  <c r="H33" i="4"/>
  <c r="H28" i="4"/>
  <c r="H23" i="4"/>
  <c r="G50" i="4"/>
  <c r="G29" i="4"/>
  <c r="H29" i="4"/>
  <c r="H40" i="4"/>
  <c r="H19" i="4"/>
  <c r="G25" i="4"/>
  <c r="G5" i="4"/>
  <c r="H10" i="4"/>
  <c r="G21" i="4"/>
  <c r="H26" i="4"/>
  <c r="G37" i="4"/>
  <c r="H42" i="4"/>
  <c r="G53" i="4"/>
  <c r="G28" i="4"/>
  <c r="H49" i="4"/>
  <c r="G18" i="4"/>
  <c r="H55" i="4"/>
  <c r="G24" i="4"/>
  <c r="G19" i="4"/>
  <c r="G14" i="4"/>
  <c r="H30" i="4"/>
  <c r="H9" i="4"/>
  <c r="G31" i="4"/>
  <c r="H5" i="4"/>
  <c r="G16" i="4"/>
  <c r="H21" i="4"/>
  <c r="G32" i="4"/>
  <c r="H37" i="4"/>
  <c r="G48" i="4"/>
  <c r="H53" i="4"/>
  <c r="H54" i="4"/>
  <c r="H12" i="4"/>
  <c r="G55" i="4"/>
  <c r="G34" i="4"/>
  <c r="H50" i="4"/>
  <c r="H51" i="4"/>
  <c r="G52" i="4"/>
  <c r="H36" i="4"/>
  <c r="G11" i="4"/>
  <c r="H16" i="4"/>
  <c r="G27" i="4"/>
  <c r="H32" i="4"/>
  <c r="G43" i="4"/>
  <c r="H48" i="4"/>
  <c r="H43" i="4"/>
  <c r="G54" i="4"/>
  <c r="G49" i="4"/>
  <c r="G12" i="4"/>
  <c r="G44" i="4"/>
  <c r="H44" i="4"/>
  <c r="H7" i="4"/>
  <c r="H18" i="4"/>
  <c r="G45" i="4"/>
  <c r="H13" i="4"/>
  <c r="H45" i="4"/>
  <c r="G35" i="4"/>
  <c r="G51" i="4"/>
  <c r="H35" i="4"/>
  <c r="G9" i="4"/>
  <c r="H46" i="4"/>
  <c r="G20" i="4"/>
  <c r="H41" i="4"/>
  <c r="G6" i="4"/>
  <c r="H11" i="4"/>
  <c r="G22" i="4"/>
  <c r="H27" i="4"/>
  <c r="G38" i="4"/>
  <c r="H38" i="4"/>
  <c r="G7" i="4"/>
  <c r="G39" i="4"/>
  <c r="H39" i="4"/>
  <c r="H34" i="4"/>
  <c r="G8" i="4"/>
  <c r="G40" i="4"/>
  <c r="H24" i="4"/>
  <c r="G46" i="4"/>
  <c r="H14" i="4"/>
  <c r="G41" i="4"/>
  <c r="H25" i="4"/>
  <c r="G15" i="4"/>
  <c r="G47" i="4"/>
  <c r="H6" i="4"/>
  <c r="G17" i="4"/>
  <c r="H22" i="4"/>
  <c r="H17" i="4"/>
  <c r="G23" i="4"/>
  <c r="G13" i="4"/>
  <c r="G30" i="4"/>
  <c r="G36" i="4"/>
  <c r="H20" i="4"/>
  <c r="H52" i="4"/>
  <c r="H8" i="4"/>
  <c r="H4" i="4"/>
  <c r="G4" i="4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<sst xmlns="http://schemas.openxmlformats.org/spreadsheetml/2006/main" count="328" uniqueCount="70">
  <si>
    <t>id</t>
  </si>
  <si>
    <t>report_refresh_date</t>
  </si>
  <si>
    <t>user_principal_name</t>
  </si>
  <si>
    <t>last_activity_date</t>
  </si>
  <si>
    <t>team_chat_message_count</t>
  </si>
  <si>
    <t>private_chat_message_count</t>
  </si>
  <si>
    <t>call_count</t>
  </si>
  <si>
    <t>meeting_count</t>
  </si>
  <si>
    <t>audio_duration</t>
  </si>
  <si>
    <t>ingestion_timestamp</t>
  </si>
  <si>
    <t>aaranyi</t>
  </si>
  <si>
    <t>abuffa</t>
  </si>
  <si>
    <t>adiforti</t>
  </si>
  <si>
    <t>afavilli</t>
  </si>
  <si>
    <t>aloffre</t>
  </si>
  <si>
    <t>apanigada</t>
  </si>
  <si>
    <t>apietrangeli</t>
  </si>
  <si>
    <t>cblanda</t>
  </si>
  <si>
    <t>cdelorenzo</t>
  </si>
  <si>
    <t>dbadagliacca</t>
  </si>
  <si>
    <t>dberardi</t>
  </si>
  <si>
    <t>dsammartano</t>
  </si>
  <si>
    <t>fbuscemi</t>
  </si>
  <si>
    <t>fcarchedi</t>
  </si>
  <si>
    <t>fpandolfi</t>
  </si>
  <si>
    <t>fpromutico</t>
  </si>
  <si>
    <t>fromano</t>
  </si>
  <si>
    <t>ftrinca</t>
  </si>
  <si>
    <t>galoisi</t>
  </si>
  <si>
    <t>gcapuano</t>
  </si>
  <si>
    <t>gdisparti</t>
  </si>
  <si>
    <t>gorlando</t>
  </si>
  <si>
    <t>ischillizzi</t>
  </si>
  <si>
    <t>jcotti</t>
  </si>
  <si>
    <t>koliveri</t>
  </si>
  <si>
    <t>lbaldassarri</t>
  </si>
  <si>
    <t>lluzi</t>
  </si>
  <si>
    <t>lzinno</t>
  </si>
  <si>
    <t>mboi</t>
  </si>
  <si>
    <t>mbruno</t>
  </si>
  <si>
    <t>msorrentino</t>
  </si>
  <si>
    <t>mtonoli</t>
  </si>
  <si>
    <t>mvitamia</t>
  </si>
  <si>
    <t>nbranchini</t>
  </si>
  <si>
    <t>ncastrucci</t>
  </si>
  <si>
    <t>pdariano</t>
  </si>
  <si>
    <t>pgiordani</t>
  </si>
  <si>
    <t>ppompeo</t>
  </si>
  <si>
    <t>ralessio</t>
  </si>
  <si>
    <t>rbaldassarre</t>
  </si>
  <si>
    <t>rtomini</t>
  </si>
  <si>
    <t>scipriani</t>
  </si>
  <si>
    <t>segreteria</t>
  </si>
  <si>
    <t>smanzi</t>
  </si>
  <si>
    <t>srossi</t>
  </si>
  <si>
    <t>sslavcheva</t>
  </si>
  <si>
    <t>vbuscemi</t>
  </si>
  <si>
    <t>vdamico</t>
  </si>
  <si>
    <t>vfalbo</t>
  </si>
  <si>
    <t>vtani</t>
  </si>
  <si>
    <t>(vuoto)</t>
  </si>
  <si>
    <t>Totale complessivo</t>
  </si>
  <si>
    <t>Somma di private_chat_message_count</t>
  </si>
  <si>
    <t>Somma di call_count</t>
  </si>
  <si>
    <t>Somma di meeting_count</t>
  </si>
  <si>
    <t>Etichette di riga</t>
  </si>
  <si>
    <t>% chat</t>
  </si>
  <si>
    <t>% call</t>
  </si>
  <si>
    <t>% meeting</t>
  </si>
  <si>
    <t>totale interazioni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</si>
</sst>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mm\ d\,\ yyyy\,\ h:mm\ AM/PM"/>
    <numFmt numFmtId="165" formatCode="mmmm\ d\,\ yyyy"/>
    <numFmt numFmtId="166" formatCode="#,##0.##"/>
  </numFmts>
  <fonts count="3" x14ac:knownFonts="1">
    <font>
      <sz val="11"/>
      <color indexed="8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2" fillId="2" borderId="0" xfId="0" applyFont="1" applyFill="1" applyAlignment="1">
      <alignment wrapText="1"/>
    </xf>
    <xf numFmtId="3" fontId="2" fillId="2" borderId="0" xfId="0" applyNumberFormat="1" applyFont="1" applyFill="1" applyAlignment="1">
      <alignment wrapText="1"/>
    </xf>
    <xf numFmtId="165" fontId="2" fillId="2" borderId="0" xfId="0" applyNumberFormat="1" applyFont="1" applyFill="1" applyAlignment="1">
      <alignment wrapText="1"/>
    </xf>
    <xf numFmtId="166" fontId="2" fillId="2" borderId="0" xfId="0" applyNumberFormat="1" applyFont="1" applyFill="1" applyAlignment="1">
      <alignment wrapText="1"/>
    </xf>
    <xf numFmtId="164" fontId="2" fillId="2" borderId="0" xfId="0" applyNumberFormat="1" applyFont="1" applyFill="1" applyAlignment="1">
      <alignment wrapText="1"/>
    </xf>
    <xf numFmtId="9" fontId="2" fillId="2" borderId="0" xfId="1" applyFont="1" applyFill="1" applyAlignment="1">
      <alignment wrapText="1"/>
    </xf>
    <xf numFmtId="0" fontId="2" fillId="2" borderId="0" xfId="0" applyFont="1" applyFill="1" applyAlignment="1">
      <alignment horizontal="left" wrapText="1"/>
    </xf>
    <xf numFmtId="0" fontId="2" fillId="2" borderId="0" xfId="0" applyNumberFormat="1" applyFont="1" applyFill="1" applyAlignment="1">
      <alignment wrapText="1"/>
    </xf>
  </cellXfs>
  <cellStyles count="2">
    <cellStyle name="Normale" xfId="0" builtinId="0"/>
    <cellStyle name="Percentuale" xfId="1" builtinId="5"/>
  </cellStyles>
  <dxfs count="21"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iovanni Capuano" refreshedDate="46007.62916689815" createdVersion="8" refreshedVersion="8" minRefreshableVersion="3" recordCount="251" xr:uid="{B30C649B-E87D-4811-BDD2-BE8FED7FB424}">
  <cacheSource type="worksheet">
    <worksheetSource ref="A1:J1048576" sheet="Risultato della query"/>
  </cacheSource>
  <cacheFields count="10">
    <cacheField name="id" numFmtId="0">
      <sharedItems containsString="0" containsBlank="1" containsNumber="1" containsInteger="1" minValue="1" maxValue="250"/>
    </cacheField>
    <cacheField name="report_refresh_date" numFmtId="0">
      <sharedItems containsNonDate="0" containsDate="1" containsString="0" containsBlank="1" minDate="2025-11-16T00:00:00" maxDate="2025-12-13T00:00:00"/>
    </cacheField>
    <cacheField name="user_principal_name" numFmtId="0">
      <sharedItems containsBlank="1" count="51">
        <s v="aaranyi"/>
        <s v="abuffa"/>
        <s v="adiforti"/>
        <s v="afavilli"/>
        <s v="aloffre"/>
        <s v="apanigada"/>
        <s v="apietrangeli"/>
        <s v="cblanda"/>
        <s v="cdelorenzo"/>
        <s v="dbadagliacca"/>
        <s v="dberardi"/>
        <s v="dsammartano"/>
        <s v="fbuscemi"/>
        <s v="fcarchedi"/>
        <s v="fpandolfi"/>
        <s v="fpromutico"/>
        <s v="fromano"/>
        <s v="ftrinca"/>
        <s v="galoisi"/>
        <s v="gcapuano"/>
        <s v="gdisparti"/>
        <s v="gorlando"/>
        <s v="ischillizzi"/>
        <s v="jcotti"/>
        <s v="koliveri"/>
        <s v="lbaldassarri"/>
        <s v="lluzi"/>
        <s v="lzinno"/>
        <s v="mboi"/>
        <s v="mbruno"/>
        <s v="msorrentino"/>
        <s v="mtonoli"/>
        <s v="mvitamia"/>
        <s v="nbranchini"/>
        <s v="ncastrucci"/>
        <s v="pdariano"/>
        <s v="pgiordani"/>
        <s v="ppompeo"/>
        <s v="ralessio"/>
        <s v="rbaldassarre"/>
        <s v="rtomini"/>
        <s v="scipriani"/>
        <s v="segreteria"/>
        <s v="smanzi"/>
        <s v="srossi"/>
        <s v="sslavcheva"/>
        <s v="vbuscemi"/>
        <s v="vdamico"/>
        <s v="vfalbo"/>
        <s v="vtani"/>
        <m/>
      </sharedItems>
    </cacheField>
    <cacheField name="last_activity_date" numFmtId="0">
      <sharedItems containsNonDate="0" containsDate="1" containsString="0" containsBlank="1" minDate="2025-11-14T00:00:00" maxDate="2025-12-13T00:00:00"/>
    </cacheField>
    <cacheField name="team_chat_message_count" numFmtId="0">
      <sharedItems containsString="0" containsBlank="1" containsNumber="1" containsInteger="1" minValue="0" maxValue="5"/>
    </cacheField>
    <cacheField name="private_chat_message_count" numFmtId="0">
      <sharedItems containsString="0" containsBlank="1" containsNumber="1" containsInteger="1" minValue="0" maxValue="2533"/>
    </cacheField>
    <cacheField name="call_count" numFmtId="0">
      <sharedItems containsString="0" containsBlank="1" containsNumber="1" containsInteger="1" minValue="0" maxValue="100"/>
    </cacheField>
    <cacheField name="meeting_count" numFmtId="0">
      <sharedItems containsString="0" containsBlank="1" containsNumber="1" containsInteger="1" minValue="0" maxValue="58"/>
    </cacheField>
    <cacheField name="audio_duration" numFmtId="0">
      <sharedItems containsString="0" containsBlank="1" containsNumber="1" minValue="0" maxValue="2.1979169999999999"/>
    </cacheField>
    <cacheField name="ingestion_timestamp" numFmtId="0">
      <sharedItems containsNonDate="0" containsDate="1" containsString="0" containsBlank="1" minDate="2025-11-18T10:54:48" maxDate="2025-12-15T07:30:0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1">
  <r>
    <n v="39"/>
    <d v="2025-11-16T00:00:00"/>
    <x v="0"/>
    <d v="2025-11-14T00:00:00"/>
    <n v="0"/>
    <n v="166"/>
    <n v="32"/>
    <n v="36"/>
    <n v="1.4409719999999999"/>
    <d v="2025-11-18T10:54:48"/>
  </r>
  <r>
    <n v="89"/>
    <d v="2025-11-22T00:00:00"/>
    <x v="0"/>
    <d v="2025-11-22T00:00:00"/>
    <n v="0"/>
    <n v="14"/>
    <n v="1"/>
    <n v="6"/>
    <n v="0.122222"/>
    <d v="2025-11-24T07:30:02"/>
  </r>
  <r>
    <n v="139"/>
    <d v="2025-11-29T00:00:00"/>
    <x v="0"/>
    <d v="2025-11-29T00:00:00"/>
    <n v="0"/>
    <n v="30"/>
    <n v="7"/>
    <n v="11"/>
    <n v="0.33611099999999999"/>
    <d v="2025-12-01T07:30:03"/>
  </r>
  <r>
    <n v="189"/>
    <d v="2025-12-06T00:00:00"/>
    <x v="0"/>
    <d v="2025-12-05T00:00:00"/>
    <n v="0"/>
    <n v="15"/>
    <n v="4"/>
    <n v="1"/>
    <n v="0.219444"/>
    <d v="2025-12-08T07:30:02"/>
  </r>
  <r>
    <n v="239"/>
    <d v="2025-12-12T00:00:00"/>
    <x v="0"/>
    <d v="2025-12-12T00:00:00"/>
    <n v="0"/>
    <n v="6"/>
    <n v="3"/>
    <n v="0"/>
    <n v="0.111111"/>
    <d v="2025-12-15T07:30:02"/>
  </r>
  <r>
    <n v="9"/>
    <d v="2025-11-16T00:00:00"/>
    <x v="1"/>
    <d v="2025-11-14T00:00:00"/>
    <n v="0"/>
    <n v="370"/>
    <n v="20"/>
    <n v="10"/>
    <n v="0.36458299999999999"/>
    <d v="2025-11-18T10:54:48"/>
  </r>
  <r>
    <n v="59"/>
    <d v="2025-11-22T00:00:00"/>
    <x v="1"/>
    <d v="2025-11-22T00:00:00"/>
    <n v="0"/>
    <n v="235"/>
    <n v="11"/>
    <n v="2"/>
    <n v="0.248611"/>
    <d v="2025-11-24T07:30:02"/>
  </r>
  <r>
    <n v="109"/>
    <d v="2025-11-29T00:00:00"/>
    <x v="1"/>
    <d v="2025-11-28T00:00:00"/>
    <n v="0"/>
    <n v="102"/>
    <n v="5"/>
    <n v="1"/>
    <n v="6.7361000000000004E-2"/>
    <d v="2025-12-01T07:30:02"/>
  </r>
  <r>
    <n v="159"/>
    <d v="2025-12-06T00:00:00"/>
    <x v="1"/>
    <d v="2025-12-05T00:00:00"/>
    <n v="0"/>
    <n v="41"/>
    <n v="2"/>
    <n v="2"/>
    <n v="0.10347199999999999"/>
    <d v="2025-12-08T07:30:02"/>
  </r>
  <r>
    <n v="209"/>
    <d v="2025-12-12T00:00:00"/>
    <x v="1"/>
    <d v="2025-12-12T00:00:00"/>
    <n v="0"/>
    <n v="22"/>
    <n v="4"/>
    <n v="2"/>
    <n v="7.9167000000000001E-2"/>
    <d v="2025-12-15T07:30:02"/>
  </r>
  <r>
    <n v="30"/>
    <d v="2025-11-16T00:00:00"/>
    <x v="2"/>
    <d v="2025-11-16T00:00:00"/>
    <n v="0"/>
    <n v="387"/>
    <n v="10"/>
    <n v="7"/>
    <n v="0.32013900000000001"/>
    <d v="2025-11-18T10:54:48"/>
  </r>
  <r>
    <n v="80"/>
    <d v="2025-11-22T00:00:00"/>
    <x v="2"/>
    <d v="2025-11-22T00:00:00"/>
    <n v="0"/>
    <n v="109"/>
    <n v="4"/>
    <n v="2"/>
    <n v="9.7917000000000004E-2"/>
    <d v="2025-11-24T07:30:02"/>
  </r>
  <r>
    <n v="130"/>
    <d v="2025-11-29T00:00:00"/>
    <x v="2"/>
    <d v="2025-11-29T00:00:00"/>
    <n v="0"/>
    <n v="76"/>
    <n v="6"/>
    <n v="3"/>
    <n v="8.8193999999999995E-2"/>
    <d v="2025-12-01T07:30:02"/>
  </r>
  <r>
    <n v="180"/>
    <d v="2025-12-06T00:00:00"/>
    <x v="2"/>
    <d v="2025-12-06T00:00:00"/>
    <n v="0"/>
    <n v="166"/>
    <n v="6"/>
    <n v="1"/>
    <n v="7.2916999999999996E-2"/>
    <d v="2025-12-08T07:30:02"/>
  </r>
  <r>
    <n v="230"/>
    <d v="2025-12-12T00:00:00"/>
    <x v="2"/>
    <d v="2025-12-12T00:00:00"/>
    <n v="0"/>
    <n v="36"/>
    <n v="0"/>
    <n v="1"/>
    <n v="2.0139000000000001E-2"/>
    <d v="2025-12-15T07:30:02"/>
  </r>
  <r>
    <n v="15"/>
    <d v="2025-11-16T00:00:00"/>
    <x v="3"/>
    <d v="2025-11-14T00:00:00"/>
    <n v="0"/>
    <n v="553"/>
    <n v="27"/>
    <n v="41"/>
    <n v="1.3666670000000001"/>
    <d v="2025-11-18T10:54:48"/>
  </r>
  <r>
    <n v="65"/>
    <d v="2025-11-22T00:00:00"/>
    <x v="3"/>
    <d v="2025-11-21T00:00:00"/>
    <n v="0"/>
    <n v="26"/>
    <n v="0"/>
    <n v="5"/>
    <n v="0.104861"/>
    <d v="2025-11-24T07:30:02"/>
  </r>
  <r>
    <n v="115"/>
    <d v="2025-11-29T00:00:00"/>
    <x v="3"/>
    <d v="2025-11-28T00:00:00"/>
    <n v="0"/>
    <n v="79"/>
    <n v="6"/>
    <n v="10"/>
    <n v="0.214583"/>
    <d v="2025-12-01T07:30:02"/>
  </r>
  <r>
    <n v="165"/>
    <d v="2025-12-06T00:00:00"/>
    <x v="3"/>
    <d v="2025-12-05T00:00:00"/>
    <n v="0"/>
    <n v="38"/>
    <n v="2"/>
    <n v="5"/>
    <n v="8.2639000000000004E-2"/>
    <d v="2025-12-08T07:30:02"/>
  </r>
  <r>
    <n v="215"/>
    <d v="2025-12-12T00:00:00"/>
    <x v="3"/>
    <d v="2025-12-12T00:00:00"/>
    <n v="0"/>
    <n v="21"/>
    <n v="1"/>
    <n v="1"/>
    <n v="1.5972E-2"/>
    <d v="2025-12-15T07:30:02"/>
  </r>
  <r>
    <n v="42"/>
    <d v="2025-11-16T00:00:00"/>
    <x v="4"/>
    <d v="2025-11-16T00:00:00"/>
    <n v="0"/>
    <n v="831"/>
    <n v="8"/>
    <n v="10"/>
    <n v="0.34375"/>
    <d v="2025-11-18T10:54:48"/>
  </r>
  <r>
    <n v="92"/>
    <d v="2025-11-22T00:00:00"/>
    <x v="4"/>
    <d v="2025-11-21T00:00:00"/>
    <n v="0"/>
    <n v="108"/>
    <n v="0"/>
    <n v="1"/>
    <n v="4.3749999999999997E-2"/>
    <d v="2025-11-24T07:30:02"/>
  </r>
  <r>
    <n v="142"/>
    <d v="2025-11-29T00:00:00"/>
    <x v="4"/>
    <d v="2025-11-29T00:00:00"/>
    <n v="0"/>
    <n v="106"/>
    <n v="0"/>
    <n v="0"/>
    <n v="0"/>
    <d v="2025-12-01T07:30:03"/>
  </r>
  <r>
    <n v="192"/>
    <d v="2025-12-06T00:00:00"/>
    <x v="4"/>
    <d v="2025-12-05T00:00:00"/>
    <n v="0"/>
    <n v="77"/>
    <n v="0"/>
    <n v="0"/>
    <n v="0"/>
    <d v="2025-12-08T07:30:02"/>
  </r>
  <r>
    <n v="242"/>
    <d v="2025-12-12T00:00:00"/>
    <x v="4"/>
    <d v="2025-12-12T00:00:00"/>
    <n v="0"/>
    <n v="6"/>
    <n v="0"/>
    <n v="0"/>
    <n v="0"/>
    <d v="2025-12-15T07:30:02"/>
  </r>
  <r>
    <n v="29"/>
    <d v="2025-11-16T00:00:00"/>
    <x v="5"/>
    <d v="2025-11-15T00:00:00"/>
    <n v="0"/>
    <n v="152"/>
    <n v="25"/>
    <n v="15"/>
    <n v="0.77013900000000002"/>
    <d v="2025-11-18T10:54:48"/>
  </r>
  <r>
    <n v="79"/>
    <d v="2025-11-22T00:00:00"/>
    <x v="5"/>
    <d v="2025-11-22T00:00:00"/>
    <n v="0"/>
    <n v="45"/>
    <n v="5"/>
    <n v="6"/>
    <n v="0.31597199999999998"/>
    <d v="2025-11-24T07:30:02"/>
  </r>
  <r>
    <n v="129"/>
    <d v="2025-11-29T00:00:00"/>
    <x v="5"/>
    <d v="2025-11-28T00:00:00"/>
    <n v="0"/>
    <n v="24"/>
    <n v="6"/>
    <n v="2"/>
    <n v="0.20208300000000001"/>
    <d v="2025-12-01T07:30:02"/>
  </r>
  <r>
    <n v="179"/>
    <d v="2025-12-06T00:00:00"/>
    <x v="5"/>
    <d v="2025-12-05T00:00:00"/>
    <n v="0"/>
    <n v="18"/>
    <n v="4"/>
    <n v="3"/>
    <n v="0.152083"/>
    <d v="2025-12-08T07:30:02"/>
  </r>
  <r>
    <n v="229"/>
    <d v="2025-12-12T00:00:00"/>
    <x v="5"/>
    <d v="2025-12-12T00:00:00"/>
    <n v="0"/>
    <n v="8"/>
    <n v="2"/>
    <n v="3"/>
    <n v="4.0278000000000001E-2"/>
    <d v="2025-12-15T07:30:02"/>
  </r>
  <r>
    <n v="5"/>
    <d v="2025-11-16T00:00:00"/>
    <x v="6"/>
    <d v="2025-11-16T00:00:00"/>
    <n v="0"/>
    <n v="388"/>
    <n v="32"/>
    <n v="41"/>
    <n v="1.754861"/>
    <d v="2025-11-18T10:54:48"/>
  </r>
  <r>
    <n v="55"/>
    <d v="2025-11-22T00:00:00"/>
    <x v="6"/>
    <d v="2025-11-22T00:00:00"/>
    <n v="0"/>
    <n v="103"/>
    <n v="15"/>
    <n v="18"/>
    <n v="0.51597199999999999"/>
    <d v="2025-11-24T07:30:02"/>
  </r>
  <r>
    <n v="105"/>
    <d v="2025-11-29T00:00:00"/>
    <x v="6"/>
    <d v="2025-11-29T00:00:00"/>
    <n v="0"/>
    <n v="88"/>
    <n v="21"/>
    <n v="10"/>
    <n v="0.42569400000000002"/>
    <d v="2025-12-01T07:30:02"/>
  </r>
  <r>
    <n v="155"/>
    <d v="2025-12-06T00:00:00"/>
    <x v="6"/>
    <d v="2025-12-06T00:00:00"/>
    <n v="0"/>
    <n v="116"/>
    <n v="23"/>
    <n v="13"/>
    <n v="0.63124999999999998"/>
    <d v="2025-12-08T07:30:02"/>
  </r>
  <r>
    <n v="205"/>
    <d v="2025-12-12T00:00:00"/>
    <x v="6"/>
    <d v="2025-12-12T00:00:00"/>
    <n v="0"/>
    <n v="75"/>
    <n v="12"/>
    <n v="7"/>
    <n v="0.28819400000000001"/>
    <d v="2025-12-15T07:30:02"/>
  </r>
  <r>
    <n v="50"/>
    <d v="2025-11-16T00:00:00"/>
    <x v="7"/>
    <d v="2025-11-15T00:00:00"/>
    <n v="0"/>
    <n v="2311"/>
    <n v="53"/>
    <n v="53"/>
    <n v="1.7472220000000001"/>
    <d v="2025-11-18T10:54:48"/>
  </r>
  <r>
    <n v="100"/>
    <d v="2025-11-22T00:00:00"/>
    <x v="7"/>
    <d v="2025-11-21T00:00:00"/>
    <n v="0"/>
    <n v="495"/>
    <n v="23"/>
    <n v="16"/>
    <n v="0.76527800000000001"/>
    <d v="2025-11-24T07:30:02"/>
  </r>
  <r>
    <n v="150"/>
    <d v="2025-11-29T00:00:00"/>
    <x v="7"/>
    <d v="2025-11-28T00:00:00"/>
    <n v="0"/>
    <n v="544"/>
    <n v="26"/>
    <n v="6"/>
    <n v="0.34375"/>
    <d v="2025-12-01T07:30:03"/>
  </r>
  <r>
    <n v="200"/>
    <d v="2025-12-06T00:00:00"/>
    <x v="7"/>
    <d v="2025-12-05T00:00:00"/>
    <n v="0"/>
    <n v="538"/>
    <n v="26"/>
    <n v="12"/>
    <n v="0.39097199999999999"/>
    <d v="2025-12-08T07:30:02"/>
  </r>
  <r>
    <n v="250"/>
    <d v="2025-12-12T00:00:00"/>
    <x v="7"/>
    <d v="2025-12-12T00:00:00"/>
    <n v="0"/>
    <n v="555"/>
    <n v="21"/>
    <n v="12"/>
    <n v="0.45277800000000001"/>
    <d v="2025-12-15T07:30:02"/>
  </r>
  <r>
    <n v="34"/>
    <d v="2025-11-16T00:00:00"/>
    <x v="8"/>
    <m/>
    <n v="0"/>
    <n v="0"/>
    <n v="0"/>
    <n v="0"/>
    <n v="0"/>
    <d v="2025-11-18T10:54:48"/>
  </r>
  <r>
    <n v="84"/>
    <d v="2025-11-22T00:00:00"/>
    <x v="8"/>
    <m/>
    <n v="0"/>
    <n v="0"/>
    <n v="0"/>
    <n v="0"/>
    <n v="0"/>
    <d v="2025-11-24T07:30:02"/>
  </r>
  <r>
    <n v="134"/>
    <d v="2025-11-29T00:00:00"/>
    <x v="8"/>
    <m/>
    <n v="0"/>
    <n v="0"/>
    <n v="0"/>
    <n v="0"/>
    <n v="0"/>
    <d v="2025-12-01T07:30:03"/>
  </r>
  <r>
    <n v="184"/>
    <d v="2025-12-06T00:00:00"/>
    <x v="8"/>
    <m/>
    <n v="0"/>
    <n v="0"/>
    <n v="0"/>
    <n v="0"/>
    <n v="0"/>
    <d v="2025-12-08T07:30:02"/>
  </r>
  <r>
    <n v="234"/>
    <d v="2025-12-12T00:00:00"/>
    <x v="8"/>
    <m/>
    <n v="0"/>
    <n v="0"/>
    <n v="0"/>
    <n v="0"/>
    <n v="0"/>
    <d v="2025-12-15T07:30:02"/>
  </r>
  <r>
    <n v="4"/>
    <d v="2025-11-16T00:00:00"/>
    <x v="9"/>
    <d v="2025-11-15T00:00:00"/>
    <n v="0"/>
    <n v="357"/>
    <n v="6"/>
    <n v="8"/>
    <n v="0.28749999999999998"/>
    <d v="2025-11-18T10:54:48"/>
  </r>
  <r>
    <n v="54"/>
    <d v="2025-11-22T00:00:00"/>
    <x v="9"/>
    <d v="2025-11-21T00:00:00"/>
    <n v="0"/>
    <n v="79"/>
    <n v="2"/>
    <n v="3"/>
    <n v="8.5417000000000007E-2"/>
    <d v="2025-11-24T07:30:02"/>
  </r>
  <r>
    <n v="104"/>
    <d v="2025-11-29T00:00:00"/>
    <x v="9"/>
    <d v="2025-11-28T00:00:00"/>
    <n v="0"/>
    <n v="47"/>
    <n v="4"/>
    <n v="1"/>
    <n v="5.9027999999999997E-2"/>
    <d v="2025-12-01T07:30:02"/>
  </r>
  <r>
    <n v="154"/>
    <d v="2025-12-06T00:00:00"/>
    <x v="9"/>
    <d v="2025-12-05T00:00:00"/>
    <n v="0"/>
    <n v="88"/>
    <n v="1"/>
    <n v="1"/>
    <n v="4.3749999999999997E-2"/>
    <d v="2025-12-08T07:30:02"/>
  </r>
  <r>
    <n v="204"/>
    <d v="2025-12-12T00:00:00"/>
    <x v="9"/>
    <d v="2025-12-11T00:00:00"/>
    <n v="0"/>
    <n v="37"/>
    <n v="0"/>
    <n v="1"/>
    <n v="1.6667000000000001E-2"/>
    <d v="2025-12-15T07:30:02"/>
  </r>
  <r>
    <n v="41"/>
    <d v="2025-11-16T00:00:00"/>
    <x v="10"/>
    <d v="2025-11-14T00:00:00"/>
    <n v="0"/>
    <n v="448"/>
    <n v="32"/>
    <n v="58"/>
    <n v="1.516667"/>
    <d v="2025-11-18T10:54:48"/>
  </r>
  <r>
    <n v="91"/>
    <d v="2025-11-22T00:00:00"/>
    <x v="10"/>
    <d v="2025-11-20T00:00:00"/>
    <n v="1"/>
    <n v="76"/>
    <n v="6"/>
    <n v="6"/>
    <n v="0.17916699999999999"/>
    <d v="2025-11-24T07:30:02"/>
  </r>
  <r>
    <n v="141"/>
    <d v="2025-11-29T00:00:00"/>
    <x v="10"/>
    <d v="2025-11-28T00:00:00"/>
    <n v="0"/>
    <n v="66"/>
    <n v="7"/>
    <n v="10"/>
    <n v="0.26527800000000001"/>
    <d v="2025-12-01T07:30:03"/>
  </r>
  <r>
    <n v="191"/>
    <d v="2025-12-06T00:00:00"/>
    <x v="10"/>
    <d v="2025-12-05T00:00:00"/>
    <n v="0"/>
    <n v="38"/>
    <n v="3"/>
    <n v="11"/>
    <n v="0.27569399999999999"/>
    <d v="2025-12-08T07:30:02"/>
  </r>
  <r>
    <n v="241"/>
    <d v="2025-12-12T00:00:00"/>
    <x v="10"/>
    <d v="2025-12-12T00:00:00"/>
    <n v="0"/>
    <n v="23"/>
    <n v="2"/>
    <n v="2"/>
    <n v="0.286111"/>
    <d v="2025-12-15T07:30:02"/>
  </r>
  <r>
    <n v="6"/>
    <d v="2025-11-16T00:00:00"/>
    <x v="11"/>
    <d v="2025-11-16T00:00:00"/>
    <n v="0"/>
    <n v="1781"/>
    <n v="25"/>
    <n v="9"/>
    <n v="0.44097199999999998"/>
    <d v="2025-11-18T10:54:48"/>
  </r>
  <r>
    <n v="56"/>
    <d v="2025-11-22T00:00:00"/>
    <x v="11"/>
    <d v="2025-11-22T00:00:00"/>
    <n v="0"/>
    <n v="43"/>
    <n v="0"/>
    <n v="0"/>
    <n v="0"/>
    <d v="2025-11-24T07:30:02"/>
  </r>
  <r>
    <n v="106"/>
    <d v="2025-11-29T00:00:00"/>
    <x v="11"/>
    <d v="2025-11-28T00:00:00"/>
    <n v="0"/>
    <n v="142"/>
    <n v="6"/>
    <n v="1"/>
    <n v="5.4167E-2"/>
    <d v="2025-12-01T07:30:02"/>
  </r>
  <r>
    <n v="156"/>
    <d v="2025-12-06T00:00:00"/>
    <x v="11"/>
    <d v="2025-12-05T00:00:00"/>
    <n v="0"/>
    <n v="108"/>
    <n v="6"/>
    <n v="1"/>
    <n v="4.2361000000000003E-2"/>
    <d v="2025-12-08T07:30:02"/>
  </r>
  <r>
    <n v="206"/>
    <d v="2025-12-12T00:00:00"/>
    <x v="11"/>
    <d v="2025-12-12T00:00:00"/>
    <n v="0"/>
    <n v="74"/>
    <n v="7"/>
    <n v="2"/>
    <n v="0.1"/>
    <d v="2025-12-15T07:30:02"/>
  </r>
  <r>
    <n v="27"/>
    <d v="2025-11-16T00:00:00"/>
    <x v="12"/>
    <d v="2025-11-14T00:00:00"/>
    <n v="0"/>
    <n v="365"/>
    <n v="32"/>
    <n v="19"/>
    <n v="1.0013890000000001"/>
    <d v="2025-11-18T10:54:48"/>
  </r>
  <r>
    <n v="77"/>
    <d v="2025-11-22T00:00:00"/>
    <x v="12"/>
    <d v="2025-11-21T00:00:00"/>
    <n v="0"/>
    <n v="44"/>
    <n v="4"/>
    <n v="4"/>
    <n v="0.20624999999999999"/>
    <d v="2025-11-24T07:30:02"/>
  </r>
  <r>
    <n v="127"/>
    <d v="2025-11-29T00:00:00"/>
    <x v="12"/>
    <d v="2025-11-29T00:00:00"/>
    <n v="0"/>
    <n v="42"/>
    <n v="3"/>
    <n v="1"/>
    <n v="1.1110999999999999E-2"/>
    <d v="2025-12-01T07:30:02"/>
  </r>
  <r>
    <n v="177"/>
    <d v="2025-12-06T00:00:00"/>
    <x v="12"/>
    <d v="2025-12-06T00:00:00"/>
    <n v="0"/>
    <n v="111"/>
    <n v="14"/>
    <n v="2"/>
    <n v="0.17291699999999999"/>
    <d v="2025-12-08T07:30:02"/>
  </r>
  <r>
    <n v="227"/>
    <d v="2025-12-12T00:00:00"/>
    <x v="12"/>
    <d v="2025-12-12T00:00:00"/>
    <n v="0"/>
    <n v="247"/>
    <n v="6"/>
    <n v="6"/>
    <n v="0.20833299999999999"/>
    <d v="2025-12-15T07:30:02"/>
  </r>
  <r>
    <n v="35"/>
    <d v="2025-11-16T00:00:00"/>
    <x v="13"/>
    <d v="2025-11-15T00:00:00"/>
    <n v="5"/>
    <n v="1298"/>
    <n v="64"/>
    <n v="42"/>
    <n v="1.519444"/>
    <d v="2025-11-18T10:54:48"/>
  </r>
  <r>
    <n v="85"/>
    <d v="2025-11-22T00:00:00"/>
    <x v="13"/>
    <d v="2025-11-22T00:00:00"/>
    <n v="0"/>
    <n v="311"/>
    <n v="12"/>
    <n v="13"/>
    <n v="0.26805600000000002"/>
    <d v="2025-11-24T07:30:02"/>
  </r>
  <r>
    <n v="135"/>
    <d v="2025-11-29T00:00:00"/>
    <x v="13"/>
    <d v="2025-11-28T00:00:00"/>
    <n v="0"/>
    <n v="380"/>
    <n v="15"/>
    <n v="4"/>
    <n v="0.19513900000000001"/>
    <d v="2025-12-01T07:30:03"/>
  </r>
  <r>
    <n v="185"/>
    <d v="2025-12-06T00:00:00"/>
    <x v="13"/>
    <d v="2025-12-06T00:00:00"/>
    <n v="0"/>
    <n v="333"/>
    <n v="18"/>
    <n v="8"/>
    <n v="0.245833"/>
    <d v="2025-12-08T07:30:02"/>
  </r>
  <r>
    <n v="235"/>
    <d v="2025-12-12T00:00:00"/>
    <x v="13"/>
    <d v="2025-12-12T00:00:00"/>
    <n v="0"/>
    <n v="207"/>
    <n v="6"/>
    <n v="8"/>
    <n v="0.26388899999999998"/>
    <d v="2025-12-15T07:30:02"/>
  </r>
  <r>
    <n v="16"/>
    <d v="2025-11-16T00:00:00"/>
    <x v="14"/>
    <d v="2025-11-14T00:00:00"/>
    <n v="0"/>
    <n v="585"/>
    <n v="37"/>
    <n v="26"/>
    <n v="1.004861"/>
    <d v="2025-11-18T10:54:48"/>
  </r>
  <r>
    <n v="66"/>
    <d v="2025-11-22T00:00:00"/>
    <x v="14"/>
    <d v="2025-11-21T00:00:00"/>
    <n v="0"/>
    <n v="186"/>
    <n v="6"/>
    <n v="14"/>
    <n v="0.409028"/>
    <d v="2025-11-24T07:30:02"/>
  </r>
  <r>
    <n v="116"/>
    <d v="2025-11-29T00:00:00"/>
    <x v="14"/>
    <d v="2025-11-28T00:00:00"/>
    <n v="0"/>
    <n v="188"/>
    <n v="9"/>
    <n v="7"/>
    <n v="0.20694399999999999"/>
    <d v="2025-12-01T07:30:02"/>
  </r>
  <r>
    <n v="166"/>
    <d v="2025-12-06T00:00:00"/>
    <x v="14"/>
    <d v="2025-12-06T00:00:00"/>
    <n v="0"/>
    <n v="182"/>
    <n v="9"/>
    <n v="6"/>
    <n v="0.23819399999999999"/>
    <d v="2025-12-08T07:30:02"/>
  </r>
  <r>
    <n v="216"/>
    <d v="2025-12-12T00:00:00"/>
    <x v="14"/>
    <d v="2025-12-12T00:00:00"/>
    <n v="0"/>
    <n v="135"/>
    <n v="11"/>
    <n v="6"/>
    <n v="0.14861099999999999"/>
    <d v="2025-12-15T07:30:02"/>
  </r>
  <r>
    <n v="31"/>
    <d v="2025-11-16T00:00:00"/>
    <x v="15"/>
    <m/>
    <n v="0"/>
    <n v="0"/>
    <n v="0"/>
    <n v="0"/>
    <n v="0"/>
    <d v="2025-11-18T10:54:48"/>
  </r>
  <r>
    <n v="81"/>
    <d v="2025-11-22T00:00:00"/>
    <x v="15"/>
    <m/>
    <n v="0"/>
    <n v="0"/>
    <n v="0"/>
    <n v="0"/>
    <n v="0"/>
    <d v="2025-11-24T07:30:02"/>
  </r>
  <r>
    <n v="131"/>
    <d v="2025-11-29T00:00:00"/>
    <x v="15"/>
    <m/>
    <n v="0"/>
    <n v="0"/>
    <n v="0"/>
    <n v="0"/>
    <n v="0"/>
    <d v="2025-12-01T07:30:02"/>
  </r>
  <r>
    <n v="181"/>
    <d v="2025-12-06T00:00:00"/>
    <x v="15"/>
    <m/>
    <n v="0"/>
    <n v="0"/>
    <n v="0"/>
    <n v="0"/>
    <n v="0"/>
    <d v="2025-12-08T07:30:02"/>
  </r>
  <r>
    <n v="231"/>
    <d v="2025-12-12T00:00:00"/>
    <x v="15"/>
    <m/>
    <n v="0"/>
    <n v="0"/>
    <n v="0"/>
    <n v="0"/>
    <n v="0"/>
    <d v="2025-12-15T07:30:02"/>
  </r>
  <r>
    <n v="43"/>
    <d v="2025-11-16T00:00:00"/>
    <x v="16"/>
    <d v="2025-11-16T00:00:00"/>
    <n v="0"/>
    <n v="652"/>
    <n v="41"/>
    <n v="41"/>
    <n v="1.567361"/>
    <d v="2025-11-18T10:54:48"/>
  </r>
  <r>
    <n v="93"/>
    <d v="2025-11-22T00:00:00"/>
    <x v="16"/>
    <d v="2025-11-22T00:00:00"/>
    <n v="0"/>
    <n v="120"/>
    <n v="14"/>
    <n v="9"/>
    <n v="0.53819399999999995"/>
    <d v="2025-11-24T07:30:02"/>
  </r>
  <r>
    <n v="143"/>
    <d v="2025-11-29T00:00:00"/>
    <x v="16"/>
    <d v="2025-11-29T00:00:00"/>
    <n v="0"/>
    <n v="143"/>
    <n v="17"/>
    <n v="4"/>
    <n v="0.220833"/>
    <d v="2025-12-01T07:30:03"/>
  </r>
  <r>
    <n v="193"/>
    <d v="2025-12-06T00:00:00"/>
    <x v="16"/>
    <d v="2025-12-05T00:00:00"/>
    <n v="0"/>
    <n v="108"/>
    <n v="8"/>
    <n v="9"/>
    <n v="0.25138899999999997"/>
    <d v="2025-12-08T07:30:02"/>
  </r>
  <r>
    <n v="243"/>
    <d v="2025-12-12T00:00:00"/>
    <x v="16"/>
    <d v="2025-12-12T00:00:00"/>
    <n v="0"/>
    <n v="94"/>
    <n v="8"/>
    <n v="6"/>
    <n v="0.28055600000000003"/>
    <d v="2025-12-15T07:30:02"/>
  </r>
  <r>
    <n v="7"/>
    <d v="2025-11-16T00:00:00"/>
    <x v="17"/>
    <d v="2025-11-16T00:00:00"/>
    <n v="0"/>
    <n v="309"/>
    <n v="12"/>
    <n v="23"/>
    <n v="0.70694400000000002"/>
    <d v="2025-11-18T10:54:48"/>
  </r>
  <r>
    <n v="57"/>
    <d v="2025-11-22T00:00:00"/>
    <x v="17"/>
    <d v="2025-11-21T00:00:00"/>
    <n v="0"/>
    <n v="18"/>
    <n v="1"/>
    <n v="7"/>
    <n v="0.154861"/>
    <d v="2025-11-24T07:30:02"/>
  </r>
  <r>
    <n v="107"/>
    <d v="2025-11-29T00:00:00"/>
    <x v="17"/>
    <d v="2025-11-29T00:00:00"/>
    <n v="0"/>
    <n v="108"/>
    <n v="3"/>
    <n v="6"/>
    <n v="0.189583"/>
    <d v="2025-12-01T07:30:02"/>
  </r>
  <r>
    <n v="157"/>
    <d v="2025-12-06T00:00:00"/>
    <x v="17"/>
    <d v="2025-12-06T00:00:00"/>
    <n v="0"/>
    <n v="60"/>
    <n v="0"/>
    <n v="3"/>
    <n v="3.3333000000000002E-2"/>
    <d v="2025-12-08T07:30:02"/>
  </r>
  <r>
    <n v="207"/>
    <d v="2025-12-12T00:00:00"/>
    <x v="17"/>
    <d v="2025-12-12T00:00:00"/>
    <n v="0"/>
    <n v="61"/>
    <n v="3"/>
    <n v="4"/>
    <n v="3.4722000000000003E-2"/>
    <d v="2025-12-15T07:30:02"/>
  </r>
  <r>
    <n v="20"/>
    <d v="2025-11-16T00:00:00"/>
    <x v="18"/>
    <d v="2025-11-14T00:00:00"/>
    <n v="0"/>
    <n v="265"/>
    <n v="25"/>
    <n v="2"/>
    <n v="0.29791699999999999"/>
    <d v="2025-11-18T10:54:48"/>
  </r>
  <r>
    <n v="70"/>
    <d v="2025-11-22T00:00:00"/>
    <x v="18"/>
    <d v="2025-11-21T00:00:00"/>
    <n v="0"/>
    <n v="38"/>
    <n v="3"/>
    <n v="0"/>
    <n v="2.7778000000000001E-2"/>
    <d v="2025-11-24T07:30:02"/>
  </r>
  <r>
    <n v="120"/>
    <d v="2025-11-29T00:00:00"/>
    <x v="18"/>
    <d v="2025-11-28T00:00:00"/>
    <n v="0"/>
    <n v="42"/>
    <n v="0"/>
    <n v="0"/>
    <n v="0"/>
    <d v="2025-12-01T07:30:02"/>
  </r>
  <r>
    <n v="170"/>
    <d v="2025-12-06T00:00:00"/>
    <x v="18"/>
    <d v="2025-12-04T00:00:00"/>
    <n v="0"/>
    <n v="31"/>
    <n v="2"/>
    <n v="0"/>
    <n v="4.8609999999999999E-3"/>
    <d v="2025-12-08T07:30:02"/>
  </r>
  <r>
    <n v="220"/>
    <d v="2025-12-12T00:00:00"/>
    <x v="18"/>
    <d v="2025-12-12T00:00:00"/>
    <n v="0"/>
    <n v="15"/>
    <n v="1"/>
    <n v="0"/>
    <n v="1.389E-3"/>
    <d v="2025-12-15T07:30:02"/>
  </r>
  <r>
    <n v="3"/>
    <d v="2025-11-16T00:00:00"/>
    <x v="19"/>
    <d v="2025-11-14T00:00:00"/>
    <n v="0"/>
    <n v="223"/>
    <n v="5"/>
    <n v="4"/>
    <n v="0.68472200000000005"/>
    <d v="2025-11-18T10:54:48"/>
  </r>
  <r>
    <n v="53"/>
    <d v="2025-11-22T00:00:00"/>
    <x v="19"/>
    <d v="2025-11-21T00:00:00"/>
    <n v="0"/>
    <n v="36"/>
    <n v="1"/>
    <n v="0"/>
    <n v="5.5560000000000002E-3"/>
    <d v="2025-11-24T07:30:02"/>
  </r>
  <r>
    <n v="103"/>
    <d v="2025-11-29T00:00:00"/>
    <x v="19"/>
    <d v="2025-11-28T00:00:00"/>
    <n v="0"/>
    <n v="43"/>
    <n v="0"/>
    <n v="0"/>
    <n v="0"/>
    <d v="2025-12-01T07:30:02"/>
  </r>
  <r>
    <n v="153"/>
    <d v="2025-12-06T00:00:00"/>
    <x v="19"/>
    <d v="2025-12-05T00:00:00"/>
    <n v="0"/>
    <n v="66"/>
    <n v="0"/>
    <n v="0"/>
    <n v="0"/>
    <d v="2025-12-08T07:30:02"/>
  </r>
  <r>
    <n v="203"/>
    <d v="2025-12-12T00:00:00"/>
    <x v="19"/>
    <d v="2025-12-12T00:00:00"/>
    <n v="0"/>
    <n v="61"/>
    <n v="1"/>
    <n v="0"/>
    <n v="4.8609999999999999E-3"/>
    <d v="2025-12-15T07:30:02"/>
  </r>
  <r>
    <n v="11"/>
    <d v="2025-11-16T00:00:00"/>
    <x v="20"/>
    <d v="2025-11-15T00:00:00"/>
    <n v="0"/>
    <n v="1270"/>
    <n v="85"/>
    <n v="44"/>
    <n v="2.1805560000000002"/>
    <d v="2025-11-18T10:54:48"/>
  </r>
  <r>
    <n v="61"/>
    <d v="2025-11-22T00:00:00"/>
    <x v="20"/>
    <d v="2025-11-22T00:00:00"/>
    <n v="0"/>
    <n v="298"/>
    <n v="17"/>
    <n v="14"/>
    <n v="0.58333299999999999"/>
    <d v="2025-11-24T07:30:02"/>
  </r>
  <r>
    <n v="111"/>
    <d v="2025-11-29T00:00:00"/>
    <x v="20"/>
    <d v="2025-11-28T00:00:00"/>
    <n v="0"/>
    <n v="333"/>
    <n v="28"/>
    <n v="10"/>
    <n v="0.33750000000000002"/>
    <d v="2025-12-01T07:30:02"/>
  </r>
  <r>
    <n v="161"/>
    <d v="2025-12-06T00:00:00"/>
    <x v="20"/>
    <d v="2025-12-05T00:00:00"/>
    <n v="0"/>
    <n v="400"/>
    <n v="22"/>
    <n v="12"/>
    <n v="0.50277799999999995"/>
    <d v="2025-12-08T07:30:02"/>
  </r>
  <r>
    <n v="211"/>
    <d v="2025-12-12T00:00:00"/>
    <x v="20"/>
    <d v="2025-12-12T00:00:00"/>
    <n v="0"/>
    <n v="198"/>
    <n v="21"/>
    <n v="8"/>
    <n v="0.34027800000000002"/>
    <d v="2025-12-15T07:30:02"/>
  </r>
  <r>
    <n v="17"/>
    <d v="2025-11-16T00:00:00"/>
    <x v="21"/>
    <d v="2025-11-16T00:00:00"/>
    <n v="0"/>
    <n v="951"/>
    <n v="20"/>
    <n v="16"/>
    <n v="0.53680600000000001"/>
    <d v="2025-11-18T10:54:48"/>
  </r>
  <r>
    <n v="67"/>
    <d v="2025-11-22T00:00:00"/>
    <x v="21"/>
    <d v="2025-11-22T00:00:00"/>
    <n v="0"/>
    <n v="218"/>
    <n v="4"/>
    <n v="4"/>
    <n v="0.14305599999999999"/>
    <d v="2025-11-24T07:30:02"/>
  </r>
  <r>
    <n v="117"/>
    <d v="2025-11-29T00:00:00"/>
    <x v="21"/>
    <d v="2025-11-29T00:00:00"/>
    <n v="0"/>
    <n v="182"/>
    <n v="6"/>
    <n v="2"/>
    <n v="6.3889000000000001E-2"/>
    <d v="2025-12-01T07:30:02"/>
  </r>
  <r>
    <n v="167"/>
    <d v="2025-12-06T00:00:00"/>
    <x v="21"/>
    <d v="2025-12-05T00:00:00"/>
    <n v="0"/>
    <n v="192"/>
    <n v="7"/>
    <n v="1"/>
    <n v="8.0556000000000003E-2"/>
    <d v="2025-12-08T07:30:02"/>
  </r>
  <r>
    <n v="217"/>
    <d v="2025-12-12T00:00:00"/>
    <x v="21"/>
    <d v="2025-12-12T00:00:00"/>
    <n v="0"/>
    <n v="25"/>
    <n v="2"/>
    <n v="1"/>
    <n v="2.6388999999999999E-2"/>
    <d v="2025-12-15T07:30:02"/>
  </r>
  <r>
    <n v="19"/>
    <d v="2025-11-16T00:00:00"/>
    <x v="22"/>
    <d v="2025-11-14T00:00:00"/>
    <n v="0"/>
    <n v="252"/>
    <n v="47"/>
    <n v="2"/>
    <n v="0.55694399999999999"/>
    <d v="2025-11-18T10:54:48"/>
  </r>
  <r>
    <n v="69"/>
    <d v="2025-11-22T00:00:00"/>
    <x v="22"/>
    <d v="2025-11-21T00:00:00"/>
    <n v="0"/>
    <n v="78"/>
    <n v="13"/>
    <n v="2"/>
    <n v="0.19722200000000001"/>
    <d v="2025-11-24T07:30:02"/>
  </r>
  <r>
    <n v="119"/>
    <d v="2025-11-29T00:00:00"/>
    <x v="22"/>
    <d v="2025-11-28T00:00:00"/>
    <n v="0"/>
    <n v="37"/>
    <n v="8"/>
    <n v="0"/>
    <n v="6.8750000000000006E-2"/>
    <d v="2025-12-01T07:30:02"/>
  </r>
  <r>
    <n v="169"/>
    <d v="2025-12-06T00:00:00"/>
    <x v="22"/>
    <d v="2025-12-05T00:00:00"/>
    <n v="0"/>
    <n v="96"/>
    <n v="13"/>
    <n v="2"/>
    <n v="0.11736099999999999"/>
    <d v="2025-12-08T07:30:02"/>
  </r>
  <r>
    <n v="219"/>
    <d v="2025-12-12T00:00:00"/>
    <x v="22"/>
    <d v="2025-12-12T00:00:00"/>
    <n v="0"/>
    <n v="39"/>
    <n v="9"/>
    <n v="0"/>
    <n v="8.3333000000000004E-2"/>
    <d v="2025-12-15T07:30:02"/>
  </r>
  <r>
    <n v="22"/>
    <d v="2025-11-16T00:00:00"/>
    <x v="23"/>
    <d v="2025-11-15T00:00:00"/>
    <n v="0"/>
    <n v="511"/>
    <n v="55"/>
    <n v="28"/>
    <n v="1.2749999999999999"/>
    <d v="2025-11-18T10:54:48"/>
  </r>
  <r>
    <n v="72"/>
    <d v="2025-11-22T00:00:00"/>
    <x v="23"/>
    <d v="2025-11-21T00:00:00"/>
    <n v="0"/>
    <n v="83"/>
    <n v="15"/>
    <n v="6"/>
    <n v="0.27291700000000002"/>
    <d v="2025-11-24T07:30:02"/>
  </r>
  <r>
    <n v="122"/>
    <d v="2025-11-29T00:00:00"/>
    <x v="23"/>
    <d v="2025-11-28T00:00:00"/>
    <n v="0"/>
    <n v="102"/>
    <n v="7"/>
    <n v="3"/>
    <n v="0.13611100000000001"/>
    <d v="2025-12-01T07:30:02"/>
  </r>
  <r>
    <n v="172"/>
    <d v="2025-12-06T00:00:00"/>
    <x v="23"/>
    <d v="2025-12-05T00:00:00"/>
    <n v="0"/>
    <n v="156"/>
    <n v="16"/>
    <n v="5"/>
    <n v="0.109722"/>
    <d v="2025-12-08T07:30:02"/>
  </r>
  <r>
    <n v="222"/>
    <d v="2025-12-12T00:00:00"/>
    <x v="23"/>
    <d v="2025-12-12T00:00:00"/>
    <n v="0"/>
    <n v="122"/>
    <n v="12"/>
    <n v="6"/>
    <n v="0.13611100000000001"/>
    <d v="2025-12-15T07:30:02"/>
  </r>
  <r>
    <n v="26"/>
    <d v="2025-11-16T00:00:00"/>
    <x v="24"/>
    <d v="2025-11-14T00:00:00"/>
    <n v="0"/>
    <n v="24"/>
    <n v="9"/>
    <n v="1"/>
    <n v="0.17569399999999999"/>
    <d v="2025-11-18T10:54:48"/>
  </r>
  <r>
    <n v="76"/>
    <d v="2025-11-22T00:00:00"/>
    <x v="24"/>
    <d v="2025-11-21T00:00:00"/>
    <n v="0"/>
    <n v="26"/>
    <n v="1"/>
    <n v="0"/>
    <n v="1.3194000000000001E-2"/>
    <d v="2025-11-24T07:30:02"/>
  </r>
  <r>
    <n v="126"/>
    <d v="2025-11-29T00:00:00"/>
    <x v="24"/>
    <d v="2025-11-28T00:00:00"/>
    <n v="0"/>
    <n v="34"/>
    <n v="3"/>
    <n v="0"/>
    <n v="1.6667000000000001E-2"/>
    <d v="2025-12-01T07:30:02"/>
  </r>
  <r>
    <n v="176"/>
    <d v="2025-12-06T00:00:00"/>
    <x v="24"/>
    <d v="2025-12-05T00:00:00"/>
    <n v="0"/>
    <n v="30"/>
    <n v="1"/>
    <n v="0"/>
    <n v="3.4719999999999998E-3"/>
    <d v="2025-12-08T07:30:02"/>
  </r>
  <r>
    <n v="226"/>
    <d v="2025-12-12T00:00:00"/>
    <x v="24"/>
    <d v="2025-12-12T00:00:00"/>
    <n v="0"/>
    <n v="3"/>
    <n v="1"/>
    <n v="0"/>
    <n v="6.9399999999999996E-4"/>
    <d v="2025-12-15T07:30:02"/>
  </r>
  <r>
    <n v="14"/>
    <d v="2025-11-16T00:00:00"/>
    <x v="25"/>
    <d v="2025-11-15T00:00:00"/>
    <n v="0"/>
    <n v="837"/>
    <n v="19"/>
    <n v="1"/>
    <n v="0.26458300000000001"/>
    <d v="2025-11-18T10:54:48"/>
  </r>
  <r>
    <n v="64"/>
    <d v="2025-11-22T00:00:00"/>
    <x v="25"/>
    <d v="2025-11-21T00:00:00"/>
    <n v="0"/>
    <n v="0"/>
    <n v="0"/>
    <n v="0"/>
    <n v="0"/>
    <d v="2025-11-24T07:30:02"/>
  </r>
  <r>
    <n v="114"/>
    <d v="2025-11-29T00:00:00"/>
    <x v="25"/>
    <d v="2025-11-29T00:00:00"/>
    <n v="0"/>
    <n v="233"/>
    <n v="0"/>
    <n v="0"/>
    <n v="0"/>
    <d v="2025-12-01T07:30:02"/>
  </r>
  <r>
    <n v="164"/>
    <d v="2025-12-06T00:00:00"/>
    <x v="25"/>
    <d v="2025-12-06T00:00:00"/>
    <n v="0"/>
    <n v="194"/>
    <n v="2"/>
    <n v="0"/>
    <n v="4.8609999999999999E-3"/>
    <d v="2025-12-08T07:30:02"/>
  </r>
  <r>
    <n v="214"/>
    <d v="2025-12-12T00:00:00"/>
    <x v="25"/>
    <d v="2025-12-12T00:00:00"/>
    <n v="0"/>
    <n v="112"/>
    <n v="1"/>
    <n v="0"/>
    <n v="2.0830000000000002E-3"/>
    <d v="2025-12-15T07:30:02"/>
  </r>
  <r>
    <n v="32"/>
    <d v="2025-11-16T00:00:00"/>
    <x v="26"/>
    <d v="2025-11-14T00:00:00"/>
    <n v="0"/>
    <n v="348"/>
    <n v="24"/>
    <n v="27"/>
    <n v="1.0708329999999999"/>
    <d v="2025-11-18T10:54:48"/>
  </r>
  <r>
    <n v="82"/>
    <d v="2025-11-22T00:00:00"/>
    <x v="26"/>
    <d v="2025-11-21T00:00:00"/>
    <n v="0"/>
    <n v="41"/>
    <n v="1"/>
    <n v="8"/>
    <n v="0.25416699999999998"/>
    <d v="2025-11-24T07:30:02"/>
  </r>
  <r>
    <n v="132"/>
    <d v="2025-11-29T00:00:00"/>
    <x v="26"/>
    <d v="2025-11-29T00:00:00"/>
    <n v="0"/>
    <n v="91"/>
    <n v="4"/>
    <n v="6"/>
    <n v="0.23611099999999999"/>
    <d v="2025-12-01T07:30:03"/>
  </r>
  <r>
    <n v="182"/>
    <d v="2025-12-06T00:00:00"/>
    <x v="26"/>
    <d v="2025-12-05T00:00:00"/>
    <n v="0"/>
    <n v="54"/>
    <n v="1"/>
    <n v="2"/>
    <n v="4.5832999999999999E-2"/>
    <d v="2025-12-08T07:30:02"/>
  </r>
  <r>
    <n v="232"/>
    <d v="2025-12-12T00:00:00"/>
    <x v="26"/>
    <d v="2025-12-12T00:00:00"/>
    <n v="0"/>
    <n v="43"/>
    <n v="4"/>
    <n v="5"/>
    <n v="0.19930600000000001"/>
    <d v="2025-12-15T07:30:02"/>
  </r>
  <r>
    <n v="36"/>
    <d v="2025-11-16T00:00:00"/>
    <x v="27"/>
    <d v="2025-11-14T00:00:00"/>
    <n v="0"/>
    <n v="256"/>
    <n v="30"/>
    <n v="17"/>
    <n v="0.692361"/>
    <d v="2025-11-18T10:54:48"/>
  </r>
  <r>
    <n v="86"/>
    <d v="2025-11-22T00:00:00"/>
    <x v="27"/>
    <d v="2025-11-21T00:00:00"/>
    <n v="0"/>
    <n v="63"/>
    <n v="5"/>
    <n v="6"/>
    <n v="8.4722000000000006E-2"/>
    <d v="2025-11-24T07:30:02"/>
  </r>
  <r>
    <n v="136"/>
    <d v="2025-11-29T00:00:00"/>
    <x v="27"/>
    <d v="2025-11-28T00:00:00"/>
    <n v="0"/>
    <n v="89"/>
    <n v="19"/>
    <n v="4"/>
    <n v="0.18194399999999999"/>
    <d v="2025-12-01T07:30:03"/>
  </r>
  <r>
    <n v="186"/>
    <d v="2025-12-06T00:00:00"/>
    <x v="27"/>
    <d v="2025-12-05T00:00:00"/>
    <n v="0"/>
    <n v="70"/>
    <n v="6"/>
    <n v="4"/>
    <n v="0.11736099999999999"/>
    <d v="2025-12-08T07:30:02"/>
  </r>
  <r>
    <n v="236"/>
    <d v="2025-12-12T00:00:00"/>
    <x v="27"/>
    <d v="2025-12-12T00:00:00"/>
    <n v="0"/>
    <n v="18"/>
    <n v="5"/>
    <n v="4"/>
    <n v="0.16319400000000001"/>
    <d v="2025-12-15T07:30:02"/>
  </r>
  <r>
    <n v="28"/>
    <d v="2025-11-16T00:00:00"/>
    <x v="28"/>
    <d v="2025-11-16T00:00:00"/>
    <n v="0"/>
    <n v="592"/>
    <n v="43"/>
    <n v="19"/>
    <n v="0.79027800000000004"/>
    <d v="2025-11-18T10:54:48"/>
  </r>
  <r>
    <n v="78"/>
    <d v="2025-11-22T00:00:00"/>
    <x v="28"/>
    <d v="2025-11-22T00:00:00"/>
    <n v="0"/>
    <n v="226"/>
    <n v="28"/>
    <n v="5"/>
    <n v="0.309722"/>
    <d v="2025-11-24T07:30:02"/>
  </r>
  <r>
    <n v="128"/>
    <d v="2025-11-29T00:00:00"/>
    <x v="28"/>
    <d v="2025-11-29T00:00:00"/>
    <n v="1"/>
    <n v="182"/>
    <n v="17"/>
    <n v="11"/>
    <n v="0.411111"/>
    <d v="2025-12-01T07:30:02"/>
  </r>
  <r>
    <n v="178"/>
    <d v="2025-12-06T00:00:00"/>
    <x v="28"/>
    <d v="2025-12-06T00:00:00"/>
    <n v="0"/>
    <n v="245"/>
    <n v="21"/>
    <n v="3"/>
    <n v="0.13888900000000001"/>
    <d v="2025-12-08T07:30:02"/>
  </r>
  <r>
    <n v="228"/>
    <d v="2025-12-12T00:00:00"/>
    <x v="28"/>
    <d v="2025-12-12T00:00:00"/>
    <n v="0"/>
    <n v="97"/>
    <n v="10"/>
    <n v="2"/>
    <n v="0.189583"/>
    <d v="2025-12-15T07:30:02"/>
  </r>
  <r>
    <n v="24"/>
    <d v="2025-11-16T00:00:00"/>
    <x v="29"/>
    <d v="2025-11-14T00:00:00"/>
    <n v="0"/>
    <n v="342"/>
    <n v="36"/>
    <n v="11"/>
    <n v="0.54166700000000001"/>
    <d v="2025-11-18T10:54:48"/>
  </r>
  <r>
    <n v="74"/>
    <d v="2025-11-22T00:00:00"/>
    <x v="29"/>
    <d v="2025-11-21T00:00:00"/>
    <n v="0"/>
    <n v="145"/>
    <n v="12"/>
    <n v="4"/>
    <n v="0.25763900000000001"/>
    <d v="2025-11-24T07:30:02"/>
  </r>
  <r>
    <n v="124"/>
    <d v="2025-11-29T00:00:00"/>
    <x v="29"/>
    <d v="2025-11-28T00:00:00"/>
    <n v="0"/>
    <n v="170"/>
    <n v="8"/>
    <n v="8"/>
    <n v="0.34930600000000001"/>
    <d v="2025-12-01T07:30:02"/>
  </r>
  <r>
    <n v="174"/>
    <d v="2025-12-06T00:00:00"/>
    <x v="29"/>
    <d v="2025-12-05T00:00:00"/>
    <n v="0"/>
    <n v="87"/>
    <n v="9"/>
    <n v="2"/>
    <n v="0.14097199999999999"/>
    <d v="2025-12-08T07:30:02"/>
  </r>
  <r>
    <n v="224"/>
    <d v="2025-12-12T00:00:00"/>
    <x v="29"/>
    <d v="2025-12-12T00:00:00"/>
    <n v="0"/>
    <n v="47"/>
    <n v="8"/>
    <n v="1"/>
    <n v="0.190972"/>
    <d v="2025-12-15T07:30:02"/>
  </r>
  <r>
    <n v="47"/>
    <d v="2025-11-16T00:00:00"/>
    <x v="30"/>
    <d v="2025-11-16T00:00:00"/>
    <n v="0"/>
    <n v="1576"/>
    <n v="13"/>
    <n v="8"/>
    <n v="0.34722199999999998"/>
    <d v="2025-11-18T10:54:48"/>
  </r>
  <r>
    <n v="97"/>
    <d v="2025-11-22T00:00:00"/>
    <x v="30"/>
    <d v="2025-11-22T00:00:00"/>
    <n v="0"/>
    <n v="260"/>
    <n v="2"/>
    <n v="3"/>
    <n v="7.7778E-2"/>
    <d v="2025-11-24T07:30:02"/>
  </r>
  <r>
    <n v="147"/>
    <d v="2025-11-29T00:00:00"/>
    <x v="30"/>
    <d v="2025-11-29T00:00:00"/>
    <n v="0"/>
    <n v="279"/>
    <n v="10"/>
    <n v="1"/>
    <n v="0.11597200000000001"/>
    <d v="2025-12-01T07:30:03"/>
  </r>
  <r>
    <n v="197"/>
    <d v="2025-12-06T00:00:00"/>
    <x v="30"/>
    <d v="2025-12-06T00:00:00"/>
    <n v="0"/>
    <n v="400"/>
    <n v="4"/>
    <n v="0"/>
    <n v="7.1527999999999994E-2"/>
    <d v="2025-12-08T07:30:02"/>
  </r>
  <r>
    <n v="247"/>
    <d v="2025-12-12T00:00:00"/>
    <x v="30"/>
    <d v="2025-12-12T00:00:00"/>
    <n v="0"/>
    <n v="178"/>
    <n v="3"/>
    <n v="2"/>
    <n v="8.9582999999999996E-2"/>
    <d v="2025-12-15T07:30:02"/>
  </r>
  <r>
    <n v="1"/>
    <d v="2025-11-16T00:00:00"/>
    <x v="31"/>
    <d v="2025-11-14T00:00:00"/>
    <n v="0"/>
    <n v="1060"/>
    <n v="39"/>
    <n v="10"/>
    <n v="1.218056"/>
    <d v="2025-11-18T10:54:48"/>
  </r>
  <r>
    <n v="51"/>
    <d v="2025-11-22T00:00:00"/>
    <x v="31"/>
    <d v="2025-11-22T00:00:00"/>
    <n v="0"/>
    <n v="245"/>
    <n v="9"/>
    <n v="1"/>
    <n v="0.152778"/>
    <d v="2025-11-24T07:30:02"/>
  </r>
  <r>
    <n v="101"/>
    <d v="2025-11-29T00:00:00"/>
    <x v="31"/>
    <d v="2025-11-29T00:00:00"/>
    <n v="0"/>
    <n v="488"/>
    <n v="6"/>
    <n v="2"/>
    <n v="0.152778"/>
    <d v="2025-12-01T07:30:02"/>
  </r>
  <r>
    <n v="151"/>
    <d v="2025-12-06T00:00:00"/>
    <x v="31"/>
    <d v="2025-12-06T00:00:00"/>
    <n v="0"/>
    <n v="284"/>
    <n v="1"/>
    <n v="3"/>
    <n v="2.8472000000000001E-2"/>
    <d v="2025-12-08T07:30:02"/>
  </r>
  <r>
    <n v="201"/>
    <d v="2025-12-12T00:00:00"/>
    <x v="31"/>
    <d v="2025-12-12T00:00:00"/>
    <n v="0"/>
    <n v="258"/>
    <n v="3"/>
    <n v="0"/>
    <n v="4.6528E-2"/>
    <d v="2025-12-15T07:30:02"/>
  </r>
  <r>
    <n v="40"/>
    <d v="2025-11-16T00:00:00"/>
    <x v="32"/>
    <d v="2025-11-14T00:00:00"/>
    <n v="0"/>
    <n v="185"/>
    <n v="36"/>
    <n v="20"/>
    <n v="0.98888900000000002"/>
    <d v="2025-11-18T10:54:48"/>
  </r>
  <r>
    <n v="90"/>
    <d v="2025-11-22T00:00:00"/>
    <x v="32"/>
    <d v="2025-11-21T00:00:00"/>
    <n v="0"/>
    <n v="50"/>
    <n v="9"/>
    <n v="5"/>
    <n v="0.37916699999999998"/>
    <d v="2025-11-24T07:30:02"/>
  </r>
  <r>
    <n v="140"/>
    <d v="2025-11-29T00:00:00"/>
    <x v="32"/>
    <d v="2025-11-28T00:00:00"/>
    <n v="0"/>
    <n v="53"/>
    <n v="8"/>
    <n v="5"/>
    <n v="0.30069400000000002"/>
    <d v="2025-12-01T07:30:03"/>
  </r>
  <r>
    <n v="190"/>
    <d v="2025-12-06T00:00:00"/>
    <x v="32"/>
    <d v="2025-12-05T00:00:00"/>
    <n v="0"/>
    <n v="78"/>
    <n v="18"/>
    <n v="5"/>
    <n v="0.30694399999999999"/>
    <d v="2025-12-08T07:30:02"/>
  </r>
  <r>
    <n v="240"/>
    <d v="2025-12-12T00:00:00"/>
    <x v="32"/>
    <d v="2025-12-12T00:00:00"/>
    <n v="0"/>
    <n v="80"/>
    <n v="6"/>
    <n v="7"/>
    <n v="0.26250000000000001"/>
    <d v="2025-12-15T07:30:02"/>
  </r>
  <r>
    <n v="8"/>
    <d v="2025-11-16T00:00:00"/>
    <x v="33"/>
    <d v="2025-11-14T00:00:00"/>
    <n v="0"/>
    <n v="1"/>
    <n v="0"/>
    <n v="5"/>
    <n v="0.182639"/>
    <d v="2025-11-18T10:54:48"/>
  </r>
  <r>
    <n v="58"/>
    <d v="2025-11-22T00:00:00"/>
    <x v="33"/>
    <d v="2025-11-21T00:00:00"/>
    <n v="0"/>
    <n v="0"/>
    <n v="0"/>
    <n v="4"/>
    <n v="9.7222000000000003E-2"/>
    <d v="2025-11-24T07:30:02"/>
  </r>
  <r>
    <n v="108"/>
    <d v="2025-11-29T00:00:00"/>
    <x v="33"/>
    <d v="2025-11-25T00:00:00"/>
    <n v="0"/>
    <n v="0"/>
    <n v="0"/>
    <n v="1"/>
    <n v="1.4583E-2"/>
    <d v="2025-12-01T07:30:02"/>
  </r>
  <r>
    <n v="158"/>
    <d v="2025-12-06T00:00:00"/>
    <x v="33"/>
    <d v="2025-12-01T00:00:00"/>
    <n v="0"/>
    <n v="0"/>
    <n v="0"/>
    <n v="1"/>
    <n v="1.7361000000000001E-2"/>
    <d v="2025-12-08T07:30:02"/>
  </r>
  <r>
    <n v="208"/>
    <d v="2025-12-12T00:00:00"/>
    <x v="33"/>
    <d v="2025-12-01T00:00:00"/>
    <n v="0"/>
    <n v="0"/>
    <n v="0"/>
    <n v="0"/>
    <n v="0"/>
    <d v="2025-12-15T07:30:02"/>
  </r>
  <r>
    <n v="10"/>
    <d v="2025-11-16T00:00:00"/>
    <x v="34"/>
    <d v="2025-11-15T00:00:00"/>
    <n v="0"/>
    <n v="1954"/>
    <n v="58"/>
    <n v="15"/>
    <n v="0.60763900000000004"/>
    <d v="2025-11-18T10:54:48"/>
  </r>
  <r>
    <n v="60"/>
    <d v="2025-11-22T00:00:00"/>
    <x v="34"/>
    <d v="2025-11-22T00:00:00"/>
    <n v="0"/>
    <n v="493"/>
    <n v="14"/>
    <n v="4"/>
    <n v="7.3610999999999996E-2"/>
    <d v="2025-11-24T07:30:02"/>
  </r>
  <r>
    <n v="110"/>
    <d v="2025-11-29T00:00:00"/>
    <x v="34"/>
    <d v="2025-11-29T00:00:00"/>
    <n v="0"/>
    <n v="549"/>
    <n v="24"/>
    <n v="8"/>
    <n v="0.19861100000000001"/>
    <d v="2025-12-01T07:30:02"/>
  </r>
  <r>
    <n v="160"/>
    <d v="2025-12-06T00:00:00"/>
    <x v="34"/>
    <d v="2025-12-06T00:00:00"/>
    <n v="0"/>
    <n v="311"/>
    <n v="22"/>
    <n v="4"/>
    <n v="0.11527800000000001"/>
    <d v="2025-12-08T07:30:02"/>
  </r>
  <r>
    <n v="210"/>
    <d v="2025-12-12T00:00:00"/>
    <x v="34"/>
    <d v="2025-12-12T00:00:00"/>
    <n v="0"/>
    <n v="305"/>
    <n v="18"/>
    <n v="4"/>
    <n v="0.151389"/>
    <d v="2025-12-15T07:30:02"/>
  </r>
  <r>
    <n v="25"/>
    <d v="2025-11-16T00:00:00"/>
    <x v="35"/>
    <d v="2025-11-15T00:00:00"/>
    <n v="0"/>
    <n v="1253"/>
    <n v="76"/>
    <n v="34"/>
    <n v="1.579167"/>
    <d v="2025-11-18T10:54:48"/>
  </r>
  <r>
    <n v="75"/>
    <d v="2025-11-22T00:00:00"/>
    <x v="35"/>
    <d v="2025-11-22T00:00:00"/>
    <n v="0"/>
    <n v="287"/>
    <n v="10"/>
    <n v="7"/>
    <n v="0.18055599999999999"/>
    <d v="2025-11-24T07:30:02"/>
  </r>
  <r>
    <n v="125"/>
    <d v="2025-11-29T00:00:00"/>
    <x v="35"/>
    <d v="2025-11-29T00:00:00"/>
    <n v="0"/>
    <n v="148"/>
    <n v="13"/>
    <n v="8"/>
    <n v="0.190278"/>
    <d v="2025-12-01T07:30:02"/>
  </r>
  <r>
    <n v="175"/>
    <d v="2025-12-06T00:00:00"/>
    <x v="35"/>
    <d v="2025-12-05T00:00:00"/>
    <n v="0"/>
    <n v="247"/>
    <n v="11"/>
    <n v="8"/>
    <n v="0.247917"/>
    <d v="2025-12-08T07:30:02"/>
  </r>
  <r>
    <n v="225"/>
    <d v="2025-12-12T00:00:00"/>
    <x v="35"/>
    <d v="2025-12-12T00:00:00"/>
    <n v="0"/>
    <n v="245"/>
    <n v="11"/>
    <n v="2"/>
    <n v="9.5139000000000001E-2"/>
    <d v="2025-12-15T07:30:02"/>
  </r>
  <r>
    <n v="48"/>
    <d v="2025-11-16T00:00:00"/>
    <x v="36"/>
    <d v="2025-11-16T00:00:00"/>
    <n v="0"/>
    <n v="531"/>
    <n v="57"/>
    <n v="8"/>
    <n v="0.96944399999999997"/>
    <d v="2025-11-18T10:54:48"/>
  </r>
  <r>
    <n v="98"/>
    <d v="2025-11-22T00:00:00"/>
    <x v="36"/>
    <d v="2025-11-22T00:00:00"/>
    <n v="0"/>
    <n v="166"/>
    <n v="16"/>
    <n v="3"/>
    <n v="0.24166699999999999"/>
    <d v="2025-11-24T07:30:02"/>
  </r>
  <r>
    <n v="148"/>
    <d v="2025-11-29T00:00:00"/>
    <x v="36"/>
    <d v="2025-11-29T00:00:00"/>
    <n v="0"/>
    <n v="153"/>
    <n v="12"/>
    <n v="1"/>
    <n v="0.159028"/>
    <d v="2025-12-01T07:30:03"/>
  </r>
  <r>
    <n v="198"/>
    <d v="2025-12-06T00:00:00"/>
    <x v="36"/>
    <d v="2025-12-06T00:00:00"/>
    <n v="0"/>
    <n v="113"/>
    <n v="12"/>
    <n v="3"/>
    <n v="0.155556"/>
    <d v="2025-12-08T07:30:02"/>
  </r>
  <r>
    <n v="248"/>
    <d v="2025-12-12T00:00:00"/>
    <x v="36"/>
    <d v="2025-12-12T00:00:00"/>
    <n v="0"/>
    <n v="106"/>
    <n v="10"/>
    <n v="0"/>
    <n v="0.125"/>
    <d v="2025-12-15T07:30:02"/>
  </r>
  <r>
    <n v="12"/>
    <d v="2025-11-16T00:00:00"/>
    <x v="37"/>
    <d v="2025-11-16T00:00:00"/>
    <n v="0"/>
    <n v="2192"/>
    <n v="50"/>
    <n v="7"/>
    <n v="0.53125"/>
    <d v="2025-11-18T10:54:48"/>
  </r>
  <r>
    <n v="62"/>
    <d v="2025-11-22T00:00:00"/>
    <x v="37"/>
    <d v="2025-11-21T00:00:00"/>
    <n v="0"/>
    <n v="533"/>
    <n v="4"/>
    <n v="3"/>
    <n v="8.0556000000000003E-2"/>
    <d v="2025-11-24T07:30:02"/>
  </r>
  <r>
    <n v="112"/>
    <d v="2025-11-29T00:00:00"/>
    <x v="37"/>
    <d v="2025-11-28T00:00:00"/>
    <n v="0"/>
    <n v="557"/>
    <n v="10"/>
    <n v="2"/>
    <n v="7.4305999999999997E-2"/>
    <d v="2025-12-01T07:30:02"/>
  </r>
  <r>
    <n v="162"/>
    <d v="2025-12-06T00:00:00"/>
    <x v="37"/>
    <d v="2025-12-05T00:00:00"/>
    <n v="0"/>
    <n v="583"/>
    <n v="3"/>
    <n v="2"/>
    <n v="2.2917E-2"/>
    <d v="2025-12-08T07:30:02"/>
  </r>
  <r>
    <n v="212"/>
    <d v="2025-12-12T00:00:00"/>
    <x v="37"/>
    <d v="2025-12-12T00:00:00"/>
    <n v="0"/>
    <n v="195"/>
    <n v="4"/>
    <n v="0"/>
    <n v="2.7778000000000001E-2"/>
    <d v="2025-12-15T07:30:02"/>
  </r>
  <r>
    <n v="38"/>
    <d v="2025-11-16T00:00:00"/>
    <x v="38"/>
    <m/>
    <n v="0"/>
    <n v="0"/>
    <n v="0"/>
    <n v="0"/>
    <n v="0"/>
    <d v="2025-11-18T10:54:48"/>
  </r>
  <r>
    <n v="88"/>
    <d v="2025-11-22T00:00:00"/>
    <x v="38"/>
    <m/>
    <n v="0"/>
    <n v="0"/>
    <n v="0"/>
    <n v="0"/>
    <n v="0"/>
    <d v="2025-11-24T07:30:02"/>
  </r>
  <r>
    <n v="138"/>
    <d v="2025-11-29T00:00:00"/>
    <x v="38"/>
    <m/>
    <n v="0"/>
    <n v="0"/>
    <n v="0"/>
    <n v="0"/>
    <n v="0"/>
    <d v="2025-12-01T07:30:03"/>
  </r>
  <r>
    <n v="188"/>
    <d v="2025-12-06T00:00:00"/>
    <x v="38"/>
    <m/>
    <n v="0"/>
    <n v="0"/>
    <n v="0"/>
    <n v="0"/>
    <n v="0"/>
    <d v="2025-12-08T07:30:02"/>
  </r>
  <r>
    <n v="238"/>
    <d v="2025-12-12T00:00:00"/>
    <x v="38"/>
    <m/>
    <n v="0"/>
    <n v="0"/>
    <n v="0"/>
    <n v="0"/>
    <n v="0"/>
    <d v="2025-12-15T07:30:02"/>
  </r>
  <r>
    <n v="37"/>
    <d v="2025-11-16T00:00:00"/>
    <x v="39"/>
    <d v="2025-11-14T00:00:00"/>
    <n v="0"/>
    <n v="216"/>
    <n v="16"/>
    <n v="12"/>
    <n v="0.31180600000000003"/>
    <d v="2025-11-18T10:54:48"/>
  </r>
  <r>
    <n v="87"/>
    <d v="2025-11-22T00:00:00"/>
    <x v="39"/>
    <d v="2025-11-21T00:00:00"/>
    <n v="0"/>
    <n v="232"/>
    <n v="13"/>
    <n v="1"/>
    <n v="0.17291699999999999"/>
    <d v="2025-11-24T07:30:02"/>
  </r>
  <r>
    <n v="137"/>
    <d v="2025-11-29T00:00:00"/>
    <x v="39"/>
    <d v="2025-11-29T00:00:00"/>
    <n v="0"/>
    <n v="125"/>
    <n v="8"/>
    <n v="3"/>
    <n v="0.109028"/>
    <d v="2025-12-01T07:30:03"/>
  </r>
  <r>
    <n v="187"/>
    <d v="2025-12-06T00:00:00"/>
    <x v="39"/>
    <d v="2025-12-06T00:00:00"/>
    <n v="0"/>
    <n v="97"/>
    <n v="5"/>
    <n v="3"/>
    <n v="0.13263900000000001"/>
    <d v="2025-12-08T07:30:02"/>
  </r>
  <r>
    <n v="237"/>
    <d v="2025-12-12T00:00:00"/>
    <x v="39"/>
    <d v="2025-12-12T00:00:00"/>
    <n v="0"/>
    <n v="66"/>
    <n v="8"/>
    <n v="1"/>
    <n v="9.6528000000000003E-2"/>
    <d v="2025-12-15T07:30:02"/>
  </r>
  <r>
    <n v="44"/>
    <d v="2025-11-16T00:00:00"/>
    <x v="40"/>
    <d v="2025-11-14T00:00:00"/>
    <n v="0"/>
    <n v="212"/>
    <n v="9"/>
    <n v="0"/>
    <n v="9.7219999999999997E-3"/>
    <d v="2025-11-18T10:54:48"/>
  </r>
  <r>
    <n v="94"/>
    <d v="2025-11-22T00:00:00"/>
    <x v="40"/>
    <d v="2025-11-22T00:00:00"/>
    <n v="0"/>
    <n v="41"/>
    <n v="3"/>
    <n v="0"/>
    <n v="3.4719999999999998E-3"/>
    <d v="2025-11-24T07:30:02"/>
  </r>
  <r>
    <n v="144"/>
    <d v="2025-11-29T00:00:00"/>
    <x v="40"/>
    <d v="2025-11-29T00:00:00"/>
    <n v="0"/>
    <n v="38"/>
    <n v="0"/>
    <n v="0"/>
    <n v="0"/>
    <d v="2025-12-01T07:30:03"/>
  </r>
  <r>
    <n v="194"/>
    <d v="2025-12-06T00:00:00"/>
    <x v="40"/>
    <d v="2025-12-06T00:00:00"/>
    <n v="0"/>
    <n v="102"/>
    <n v="4"/>
    <n v="0"/>
    <n v="3.4719999999999998E-3"/>
    <d v="2025-12-08T07:30:02"/>
  </r>
  <r>
    <n v="244"/>
    <d v="2025-12-12T00:00:00"/>
    <x v="40"/>
    <d v="2025-12-12T00:00:00"/>
    <n v="0"/>
    <n v="47"/>
    <n v="2"/>
    <n v="0"/>
    <n v="1.389E-3"/>
    <d v="2025-12-15T07:30:02"/>
  </r>
  <r>
    <n v="2"/>
    <d v="2025-11-16T00:00:00"/>
    <x v="41"/>
    <d v="2025-11-14T00:00:00"/>
    <n v="0"/>
    <n v="470"/>
    <n v="30"/>
    <n v="18"/>
    <n v="0.879861"/>
    <d v="2025-11-18T10:54:48"/>
  </r>
  <r>
    <n v="52"/>
    <d v="2025-11-22T00:00:00"/>
    <x v="41"/>
    <d v="2025-11-22T00:00:00"/>
    <n v="0"/>
    <n v="154"/>
    <n v="4"/>
    <n v="6"/>
    <n v="0.19930600000000001"/>
    <d v="2025-11-24T07:30:02"/>
  </r>
  <r>
    <n v="102"/>
    <d v="2025-11-29T00:00:00"/>
    <x v="41"/>
    <d v="2025-11-29T00:00:00"/>
    <n v="0"/>
    <n v="76"/>
    <n v="4"/>
    <n v="4"/>
    <n v="0.17777799999999999"/>
    <d v="2025-12-01T07:30:02"/>
  </r>
  <r>
    <n v="152"/>
    <d v="2025-12-06T00:00:00"/>
    <x v="41"/>
    <d v="2025-12-06T00:00:00"/>
    <n v="0"/>
    <n v="89"/>
    <n v="9"/>
    <n v="2"/>
    <n v="0.111111"/>
    <d v="2025-12-08T07:30:02"/>
  </r>
  <r>
    <n v="202"/>
    <d v="2025-12-12T00:00:00"/>
    <x v="41"/>
    <d v="2025-12-12T00:00:00"/>
    <n v="0"/>
    <n v="55"/>
    <n v="3"/>
    <n v="2"/>
    <n v="6.6667000000000004E-2"/>
    <d v="2025-12-15T07:30:02"/>
  </r>
  <r>
    <n v="18"/>
    <d v="2025-11-16T00:00:00"/>
    <x v="42"/>
    <d v="2025-11-14T00:00:00"/>
    <n v="0"/>
    <n v="2533"/>
    <n v="27"/>
    <n v="2"/>
    <n v="9.2360999999999999E-2"/>
    <d v="2025-11-18T10:54:48"/>
  </r>
  <r>
    <n v="68"/>
    <d v="2025-11-22T00:00:00"/>
    <x v="42"/>
    <d v="2025-11-14T00:00:00"/>
    <n v="0"/>
    <n v="0"/>
    <n v="0"/>
    <n v="0"/>
    <n v="0"/>
    <d v="2025-11-24T07:30:02"/>
  </r>
  <r>
    <n v="118"/>
    <d v="2025-11-29T00:00:00"/>
    <x v="42"/>
    <d v="2025-11-28T00:00:00"/>
    <n v="0"/>
    <n v="411"/>
    <n v="8"/>
    <n v="1"/>
    <n v="4.3749999999999997E-2"/>
    <d v="2025-12-01T07:30:02"/>
  </r>
  <r>
    <n v="168"/>
    <d v="2025-12-06T00:00:00"/>
    <x v="42"/>
    <d v="2025-12-06T00:00:00"/>
    <n v="0"/>
    <n v="433"/>
    <n v="3"/>
    <n v="0"/>
    <n v="1.0416999999999999E-2"/>
    <d v="2025-12-08T07:30:02"/>
  </r>
  <r>
    <n v="218"/>
    <d v="2025-12-12T00:00:00"/>
    <x v="42"/>
    <d v="2025-12-12T00:00:00"/>
    <n v="0"/>
    <n v="237"/>
    <n v="3"/>
    <n v="1"/>
    <n v="0.105556"/>
    <d v="2025-12-15T07:30:02"/>
  </r>
  <r>
    <n v="23"/>
    <d v="2025-11-16T00:00:00"/>
    <x v="43"/>
    <d v="2025-11-16T00:00:00"/>
    <n v="0"/>
    <n v="414"/>
    <n v="39"/>
    <n v="11"/>
    <n v="0.51249999999999996"/>
    <d v="2025-11-18T10:54:48"/>
  </r>
  <r>
    <n v="73"/>
    <d v="2025-11-22T00:00:00"/>
    <x v="43"/>
    <d v="2025-11-22T00:00:00"/>
    <n v="0"/>
    <n v="109"/>
    <n v="8"/>
    <n v="2"/>
    <n v="3.8193999999999999E-2"/>
    <d v="2025-11-24T07:30:02"/>
  </r>
  <r>
    <n v="123"/>
    <d v="2025-11-29T00:00:00"/>
    <x v="43"/>
    <d v="2025-11-29T00:00:00"/>
    <n v="0"/>
    <n v="121"/>
    <n v="14"/>
    <n v="1"/>
    <n v="5.4167E-2"/>
    <d v="2025-12-01T07:30:02"/>
  </r>
  <r>
    <n v="173"/>
    <d v="2025-12-06T00:00:00"/>
    <x v="43"/>
    <d v="2025-12-06T00:00:00"/>
    <n v="0"/>
    <n v="96"/>
    <n v="11"/>
    <n v="0"/>
    <n v="3.7499999999999999E-2"/>
    <d v="2025-12-08T07:30:02"/>
  </r>
  <r>
    <n v="223"/>
    <d v="2025-12-12T00:00:00"/>
    <x v="43"/>
    <d v="2025-12-12T00:00:00"/>
    <n v="0"/>
    <n v="61"/>
    <n v="3"/>
    <n v="0"/>
    <n v="1.4583E-2"/>
    <d v="2025-12-15T07:30:02"/>
  </r>
  <r>
    <n v="21"/>
    <d v="2025-11-16T00:00:00"/>
    <x v="44"/>
    <d v="2025-11-15T00:00:00"/>
    <n v="0"/>
    <n v="750"/>
    <n v="100"/>
    <n v="50"/>
    <n v="2.1979169999999999"/>
    <d v="2025-11-18T10:54:48"/>
  </r>
  <r>
    <n v="71"/>
    <d v="2025-11-22T00:00:00"/>
    <x v="44"/>
    <d v="2025-11-21T00:00:00"/>
    <n v="0"/>
    <n v="260"/>
    <n v="23"/>
    <n v="23"/>
    <n v="0.60694400000000004"/>
    <d v="2025-11-24T07:30:02"/>
  </r>
  <r>
    <n v="121"/>
    <d v="2025-11-29T00:00:00"/>
    <x v="44"/>
    <d v="2025-11-28T00:00:00"/>
    <n v="0"/>
    <n v="144"/>
    <n v="25"/>
    <n v="11"/>
    <n v="0.38541700000000001"/>
    <d v="2025-12-01T07:30:02"/>
  </r>
  <r>
    <n v="171"/>
    <d v="2025-12-06T00:00:00"/>
    <x v="44"/>
    <d v="2025-12-05T00:00:00"/>
    <n v="0"/>
    <n v="132"/>
    <n v="37"/>
    <n v="19"/>
    <n v="0.64583299999999999"/>
    <d v="2025-12-08T07:30:02"/>
  </r>
  <r>
    <n v="221"/>
    <d v="2025-12-12T00:00:00"/>
    <x v="44"/>
    <d v="2025-12-12T00:00:00"/>
    <n v="0"/>
    <n v="8"/>
    <n v="16"/>
    <n v="10"/>
    <n v="0.20138900000000001"/>
    <d v="2025-12-15T07:30:02"/>
  </r>
  <r>
    <n v="49"/>
    <d v="2025-11-16T00:00:00"/>
    <x v="45"/>
    <d v="2025-11-16T00:00:00"/>
    <n v="0"/>
    <n v="1019"/>
    <n v="1"/>
    <n v="6"/>
    <n v="7.7082999999999999E-2"/>
    <d v="2025-11-18T10:54:48"/>
  </r>
  <r>
    <n v="99"/>
    <d v="2025-11-22T00:00:00"/>
    <x v="45"/>
    <d v="2025-11-21T00:00:00"/>
    <n v="0"/>
    <n v="260"/>
    <n v="0"/>
    <n v="1"/>
    <n v="2.1527999999999999E-2"/>
    <d v="2025-11-24T07:30:02"/>
  </r>
  <r>
    <n v="149"/>
    <d v="2025-11-29T00:00:00"/>
    <x v="45"/>
    <d v="2025-11-27T00:00:00"/>
    <n v="0"/>
    <n v="206"/>
    <n v="0"/>
    <n v="2"/>
    <n v="2.8472000000000001E-2"/>
    <d v="2025-12-01T07:30:03"/>
  </r>
  <r>
    <n v="199"/>
    <d v="2025-12-06T00:00:00"/>
    <x v="45"/>
    <d v="2025-12-05T00:00:00"/>
    <n v="0"/>
    <n v="52"/>
    <n v="0"/>
    <n v="0"/>
    <n v="0"/>
    <d v="2025-12-08T07:30:02"/>
  </r>
  <r>
    <n v="249"/>
    <d v="2025-12-12T00:00:00"/>
    <x v="45"/>
    <d v="2025-12-12T00:00:00"/>
    <n v="0"/>
    <n v="5"/>
    <n v="0"/>
    <n v="0"/>
    <n v="0"/>
    <d v="2025-12-15T07:30:02"/>
  </r>
  <r>
    <n v="45"/>
    <d v="2025-11-16T00:00:00"/>
    <x v="46"/>
    <d v="2025-11-14T00:00:00"/>
    <n v="0"/>
    <n v="391"/>
    <n v="15"/>
    <n v="13"/>
    <n v="0.81944399999999995"/>
    <d v="2025-11-18T10:54:48"/>
  </r>
  <r>
    <n v="95"/>
    <d v="2025-11-22T00:00:00"/>
    <x v="46"/>
    <d v="2025-11-21T00:00:00"/>
    <n v="0"/>
    <n v="217"/>
    <n v="8"/>
    <n v="0"/>
    <n v="2.5694000000000002E-2"/>
    <d v="2025-11-24T07:30:02"/>
  </r>
  <r>
    <n v="145"/>
    <d v="2025-11-29T00:00:00"/>
    <x v="46"/>
    <d v="2025-11-28T00:00:00"/>
    <n v="0"/>
    <n v="158"/>
    <n v="5"/>
    <n v="4"/>
    <n v="0.105556"/>
    <d v="2025-12-01T07:30:03"/>
  </r>
  <r>
    <n v="195"/>
    <d v="2025-12-06T00:00:00"/>
    <x v="46"/>
    <d v="2025-12-05T00:00:00"/>
    <n v="0"/>
    <n v="100"/>
    <n v="6"/>
    <n v="0"/>
    <n v="2.9166999999999998E-2"/>
    <d v="2025-12-08T07:30:02"/>
  </r>
  <r>
    <n v="245"/>
    <d v="2025-12-12T00:00:00"/>
    <x v="46"/>
    <d v="2025-12-12T00:00:00"/>
    <n v="0"/>
    <n v="58"/>
    <n v="3"/>
    <n v="0"/>
    <n v="6.9439999999999997E-3"/>
    <d v="2025-12-15T07:30:02"/>
  </r>
  <r>
    <n v="46"/>
    <d v="2025-11-16T00:00:00"/>
    <x v="47"/>
    <d v="2025-11-14T00:00:00"/>
    <n v="0"/>
    <n v="426"/>
    <n v="34"/>
    <n v="12"/>
    <n v="0.93055600000000005"/>
    <d v="2025-11-18T10:54:48"/>
  </r>
  <r>
    <n v="96"/>
    <d v="2025-11-22T00:00:00"/>
    <x v="47"/>
    <d v="2025-11-21T00:00:00"/>
    <n v="0"/>
    <n v="159"/>
    <n v="15"/>
    <n v="12"/>
    <n v="0.55277799999999999"/>
    <d v="2025-11-24T07:30:02"/>
  </r>
  <r>
    <n v="146"/>
    <d v="2025-11-29T00:00:00"/>
    <x v="47"/>
    <d v="2025-11-28T00:00:00"/>
    <n v="0"/>
    <n v="85"/>
    <n v="17"/>
    <n v="5"/>
    <n v="0.21180599999999999"/>
    <d v="2025-12-01T07:30:03"/>
  </r>
  <r>
    <n v="196"/>
    <d v="2025-12-06T00:00:00"/>
    <x v="47"/>
    <d v="2025-12-05T00:00:00"/>
    <n v="0"/>
    <n v="154"/>
    <n v="15"/>
    <n v="8"/>
    <n v="0.61180599999999996"/>
    <d v="2025-12-08T07:30:02"/>
  </r>
  <r>
    <n v="246"/>
    <d v="2025-12-12T00:00:00"/>
    <x v="47"/>
    <d v="2025-12-12T00:00:00"/>
    <n v="0"/>
    <n v="44"/>
    <n v="11"/>
    <n v="5"/>
    <n v="0.36736099999999999"/>
    <d v="2025-12-15T07:30:02"/>
  </r>
  <r>
    <n v="33"/>
    <d v="2025-11-16T00:00:00"/>
    <x v="48"/>
    <d v="2025-11-15T00:00:00"/>
    <n v="0"/>
    <n v="366"/>
    <n v="35"/>
    <n v="16"/>
    <n v="1.170139"/>
    <d v="2025-11-18T10:54:48"/>
  </r>
  <r>
    <n v="83"/>
    <d v="2025-11-22T00:00:00"/>
    <x v="48"/>
    <d v="2025-11-21T00:00:00"/>
    <n v="0"/>
    <n v="91"/>
    <n v="8"/>
    <n v="6"/>
    <n v="0.34791699999999998"/>
    <d v="2025-11-24T07:30:02"/>
  </r>
  <r>
    <n v="133"/>
    <d v="2025-11-29T00:00:00"/>
    <x v="48"/>
    <d v="2025-11-28T00:00:00"/>
    <n v="0"/>
    <n v="114"/>
    <n v="13"/>
    <n v="5"/>
    <n v="0.22638900000000001"/>
    <d v="2025-12-01T07:30:03"/>
  </r>
  <r>
    <n v="183"/>
    <d v="2025-12-06T00:00:00"/>
    <x v="48"/>
    <d v="2025-12-05T00:00:00"/>
    <n v="0"/>
    <n v="84"/>
    <n v="9"/>
    <n v="3"/>
    <n v="0.15625"/>
    <d v="2025-12-08T07:30:02"/>
  </r>
  <r>
    <n v="233"/>
    <d v="2025-12-12T00:00:00"/>
    <x v="48"/>
    <d v="2025-12-12T00:00:00"/>
    <n v="0"/>
    <n v="72"/>
    <n v="7"/>
    <n v="4"/>
    <n v="0.183333"/>
    <d v="2025-12-15T07:30:02"/>
  </r>
  <r>
    <n v="13"/>
    <d v="2025-11-16T00:00:00"/>
    <x v="49"/>
    <d v="2025-11-16T00:00:00"/>
    <n v="0"/>
    <n v="423"/>
    <n v="1"/>
    <n v="4"/>
    <n v="0.62430600000000003"/>
    <d v="2025-11-18T10:54:48"/>
  </r>
  <r>
    <n v="63"/>
    <d v="2025-11-22T00:00:00"/>
    <x v="49"/>
    <d v="2025-11-21T00:00:00"/>
    <n v="0"/>
    <n v="151"/>
    <n v="3"/>
    <n v="3"/>
    <n v="4.3055999999999997E-2"/>
    <d v="2025-11-24T07:30:02"/>
  </r>
  <r>
    <n v="113"/>
    <d v="2025-11-29T00:00:00"/>
    <x v="49"/>
    <d v="2025-11-28T00:00:00"/>
    <n v="0"/>
    <n v="180"/>
    <n v="3"/>
    <n v="3"/>
    <n v="0.188194"/>
    <d v="2025-12-01T07:30:02"/>
  </r>
  <r>
    <n v="163"/>
    <d v="2025-12-06T00:00:00"/>
    <x v="49"/>
    <d v="2025-12-06T00:00:00"/>
    <n v="0"/>
    <n v="154"/>
    <n v="1"/>
    <n v="2"/>
    <n v="2.5000000000000001E-2"/>
    <d v="2025-12-08T07:30:02"/>
  </r>
  <r>
    <n v="213"/>
    <d v="2025-12-12T00:00:00"/>
    <x v="49"/>
    <d v="2025-12-12T00:00:00"/>
    <n v="0"/>
    <n v="74"/>
    <n v="2"/>
    <n v="1"/>
    <n v="3.1944E-2"/>
    <d v="2025-12-15T07:30:02"/>
  </r>
  <r>
    <m/>
    <m/>
    <x v="50"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D5E008-40AE-4164-8685-48B60335AC87}" name="Tabella pivot1" cacheId="3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A3:D55" firstHeaderRow="0" firstDataRow="1" firstDataCol="1"/>
  <pivotFields count="10">
    <pivotField showAll="0"/>
    <pivotField showAll="0"/>
    <pivotField axis="axisRow" showAll="0">
      <items count="5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showAll="0"/>
    <pivotField showAll="0"/>
    <pivotField dataField="1" showAll="0"/>
    <pivotField dataField="1" showAll="0"/>
    <pivotField dataField="1" showAll="0"/>
    <pivotField showAll="0"/>
    <pivotField showAll="0"/>
  </pivotFields>
  <rowFields count="1">
    <field x="2"/>
  </rowFields>
  <rowItems count="5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omma di private_chat_message_count" fld="5" baseField="0" baseItem="0"/>
    <dataField name="Somma di call_count" fld="6" baseField="0" baseItem="0"/>
    <dataField name="Somma di meeting_count" fld="7" baseField="0" baseItem="0"/>
  </dataFields>
  <formats count="21">
    <format dxfId="20">
      <pivotArea type="all" dataOnly="0" outline="0" fieldPosition="0"/>
    </format>
    <format dxfId="19">
      <pivotArea outline="0" collapsedLevelsAreSubtotals="1" fieldPosition="0"/>
    </format>
    <format dxfId="18">
      <pivotArea field="2" type="button" dataOnly="0" labelOnly="1" outline="0" axis="axisRow" fieldPosition="0"/>
    </format>
    <format dxfId="17">
      <pivotArea dataOnly="0" labelOnly="1" fieldPosition="0">
        <references count="1">
          <reference field="2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16">
      <pivotArea dataOnly="0" labelOnly="1" fieldPosition="0">
        <references count="1">
          <reference field="2" count="1">
            <x v="50"/>
          </reference>
        </references>
      </pivotArea>
    </format>
    <format dxfId="15">
      <pivotArea dataOnly="0" labelOnly="1" grandRow="1" outline="0" fieldPosition="0"/>
    </format>
    <format dxfId="14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3">
      <pivotArea type="all" dataOnly="0" outline="0" fieldPosition="0"/>
    </format>
    <format dxfId="12">
      <pivotArea outline="0" collapsedLevelsAreSubtotals="1" fieldPosition="0"/>
    </format>
    <format dxfId="11">
      <pivotArea field="2" type="button" dataOnly="0" labelOnly="1" outline="0" axis="axisRow" fieldPosition="0"/>
    </format>
    <format dxfId="10">
      <pivotArea dataOnly="0" labelOnly="1" fieldPosition="0">
        <references count="1">
          <reference field="2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9">
      <pivotArea dataOnly="0" labelOnly="1" fieldPosition="0">
        <references count="1">
          <reference field="2" count="1">
            <x v="50"/>
          </reference>
        </references>
      </pivotArea>
    </format>
    <format dxfId="8">
      <pivotArea dataOnly="0" labelOnly="1" grandRow="1" outline="0" fieldPosition="0"/>
    </format>
    <format dxfId="7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6">
      <pivotArea type="all" dataOnly="0" outline="0" fieldPosition="0"/>
    </format>
    <format dxfId="5">
      <pivotArea outline="0" collapsedLevelsAreSubtotals="1" fieldPosition="0"/>
    </format>
    <format dxfId="4">
      <pivotArea field="2" type="button" dataOnly="0" labelOnly="1" outline="0" axis="axisRow" fieldPosition="0"/>
    </format>
    <format dxfId="3">
      <pivotArea dataOnly="0" labelOnly="1" fieldPosition="0">
        <references count="1">
          <reference field="2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2">
      <pivotArea dataOnly="0" labelOnly="1" fieldPosition="0">
        <references count="1">
          <reference field="2" count="1">
            <x v="50"/>
          </reference>
        </references>
      </pivotArea>
    </format>
    <format dxfId="1">
      <pivotArea dataOnly="0" labelOnly="1" grandRow="1" outline="0" fieldPosition="0"/>
    </format>
    <format dxfId="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9A470-B0E3-427C-AFF5-7F0AC4664C55}">
  <dimension ref="A3:T56"/>
  <sheetViews>
    <sheetView tabSelected="1" workbookViewId="0">
      <pane xSplit="1" ySplit="3" topLeftCell="J36" activePane="bottomRight" state="frozen"/>
      <selection pane="topRight" activeCell="B1" sqref="B1"/>
      <selection pane="bottomLeft" activeCell="A4" sqref="A4"/>
      <selection pane="bottomRight" activeCell="M5" sqref="M5"/>
    </sheetView>
  </sheetViews>
  <sheetFormatPr defaultColWidth="14.875" defaultRowHeight="14.3" x14ac:dyDescent="0.25"/>
  <cols>
    <col min="1" max="5" width="14.875" style="1"/>
    <col min="6" max="6" width="14.875" style="6"/>
    <col min="7" max="16384" width="14.875" style="1"/>
  </cols>
  <sheetData>
    <row r="3" spans="1:20" ht="42.8" x14ac:dyDescent="0.25">
      <c r="A3" s="1" t="s">
        <v>65</v>
      </c>
      <c r="B3" s="1" t="s">
        <v>62</v>
      </c>
      <c r="C3" s="1" t="s">
        <v>63</v>
      </c>
      <c r="D3" s="1" t="s">
        <v>64</v>
      </c>
      <c r="E3" s="1" t="s">
        <v>69</v>
      </c>
      <c r="F3" s="6" t="s">
        <v>66</v>
      </c>
      <c r="G3" s="1" t="s">
        <v>67</v>
      </c>
      <c r="H3" s="1" t="s">
        <v>68</v>
      </c>
      <c r="M3" s="1" t="s">
        <v>65</v>
      </c>
      <c r="N3" s="1" t="s">
        <v>62</v>
      </c>
      <c r="O3" s="1" t="s">
        <v>63</v>
      </c>
      <c r="P3" s="1" t="s">
        <v>64</v>
      </c>
      <c r="Q3" s="1" t="s">
        <v>69</v>
      </c>
      <c r="R3" s="1" t="s">
        <v>66</v>
      </c>
      <c r="S3" s="1" t="s">
        <v>67</v>
      </c>
      <c r="T3" s="1" t="s">
        <v>68</v>
      </c>
    </row>
    <row r="4" spans="1:20" ht="28.55" x14ac:dyDescent="0.25">
      <c r="A4" s="7" t="s">
        <v>10</v>
      </c>
      <c r="B4" s="8">
        <v>231</v>
      </c>
      <c r="C4" s="8">
        <v>47</v>
      </c>
      <c r="D4" s="8">
        <v>54</v>
      </c>
      <c r="E4" s="1">
        <f>SUM(B4:D4)</f>
        <v>332</v>
      </c>
      <c r="F4" s="6">
        <f>GETPIVOTDATA("Somma di private_chat_message_count",$A$3,"user_principal_name","aaranyi")/$E4</f>
        <v>0.69578313253012047</v>
      </c>
      <c r="G4" s="6">
        <f>GETPIVOTDATA("Somma di call_count",$A$3,"user_principal_name","aaranyi")/E4</f>
        <v>0.14156626506024098</v>
      </c>
      <c r="H4" s="6">
        <f>GETPIVOTDATA("Somma di meeting_count",$A$3,"user_principal_name","aaranyi")/E4</f>
        <v>0.16265060240963855</v>
      </c>
      <c r="I4" s="1" t="str">
        <f>IF(E4=0,"Nessuna attività",
IF(F4&gt;60%,"Chat-based",
IF(H4&gt;40%,"Meeting-heavy",
IF(G4&gt;H4,"Call-based","Misto"))))</f>
        <v>Chat-based</v>
      </c>
      <c r="J4" s="1" t="str" cm="1">
        <f t="array" ref="J4:J7">_xlfn._xlws.SORT(_xlfn.UNIQUE(I4:I500))</f>
        <v>Chat-based</v>
      </c>
      <c r="K4" s="1">
        <f>COUNTIF(I:I,J4)</f>
        <v>4</v>
      </c>
      <c r="M4" s="7" t="str" cm="1">
        <f t="array" ref="M4:T56">_xlfn._xlws.SORT(A4:H56,3)</f>
        <v>cdelorenzo</v>
      </c>
      <c r="N4" s="8">
        <v>0</v>
      </c>
      <c r="O4" s="8">
        <v>0</v>
      </c>
      <c r="P4" s="8">
        <v>0</v>
      </c>
      <c r="Q4" s="1">
        <v>0</v>
      </c>
      <c r="R4" s="6" t="e">
        <v>#DIV/0!</v>
      </c>
      <c r="S4" s="6" t="e">
        <v>#DIV/0!</v>
      </c>
      <c r="T4" s="6" t="e">
        <v>#DIV/0!</v>
      </c>
    </row>
    <row r="5" spans="1:20" x14ac:dyDescent="0.25">
      <c r="A5" s="7" t="s">
        <v>11</v>
      </c>
      <c r="B5" s="8">
        <v>770</v>
      </c>
      <c r="C5" s="8">
        <v>42</v>
      </c>
      <c r="D5" s="8">
        <v>17</v>
      </c>
      <c r="E5" s="1">
        <f t="shared" ref="E5:E55" si="0">SUM(B5:D5)</f>
        <v>829</v>
      </c>
      <c r="F5" s="6">
        <f t="shared" ref="F5:F55" si="1">GETPIVOTDATA("Somma di private_chat_message_count",$A$3,"user_principal_name","aaranyi")/$E5</f>
        <v>0.27864897466827504</v>
      </c>
      <c r="G5" s="6">
        <f t="shared" ref="G5:G55" si="2">GETPIVOTDATA("Somma di call_count",$A$3,"user_principal_name","aaranyi")/E5</f>
        <v>5.6694813027744269E-2</v>
      </c>
      <c r="H5" s="6">
        <f t="shared" ref="H5:H55" si="3">GETPIVOTDATA("Somma di meeting_count",$A$3,"user_principal_name","aaranyi")/E5</f>
        <v>6.513872135102533E-2</v>
      </c>
      <c r="I5" s="1" t="str">
        <f t="shared" ref="I5:I55" si="4">IF(E5=0,"Nessuna attività",
IF(F5&gt;60%,"Chat-based",
IF(H5&gt;40%,"Meeting-heavy",
IF(G5&gt;H5,"Call-based","Misto"))))</f>
        <v>Misto</v>
      </c>
      <c r="J5" s="1" t="str">
        <v>Misto</v>
      </c>
      <c r="K5" s="1">
        <f t="shared" ref="K5:K7" si="5">COUNTIF(I:I,J5)</f>
        <v>44</v>
      </c>
      <c r="M5" s="7" t="str">
        <v>fpromutico</v>
      </c>
      <c r="N5" s="8">
        <v>0</v>
      </c>
      <c r="O5" s="8">
        <v>0</v>
      </c>
      <c r="P5" s="8">
        <v>0</v>
      </c>
      <c r="Q5" s="1">
        <v>0</v>
      </c>
      <c r="R5" s="6" t="e">
        <v>#DIV/0!</v>
      </c>
      <c r="S5" s="6" t="e">
        <v>#DIV/0!</v>
      </c>
      <c r="T5" s="6" t="e">
        <v>#DIV/0!</v>
      </c>
    </row>
    <row r="6" spans="1:20" x14ac:dyDescent="0.25">
      <c r="A6" s="7" t="s">
        <v>12</v>
      </c>
      <c r="B6" s="8">
        <v>774</v>
      </c>
      <c r="C6" s="8">
        <v>26</v>
      </c>
      <c r="D6" s="8">
        <v>14</v>
      </c>
      <c r="E6" s="1">
        <f t="shared" si="0"/>
        <v>814</v>
      </c>
      <c r="F6" s="6">
        <f t="shared" si="1"/>
        <v>0.28378378378378377</v>
      </c>
      <c r="G6" s="6">
        <f t="shared" si="2"/>
        <v>5.7739557739557738E-2</v>
      </c>
      <c r="H6" s="6">
        <f t="shared" si="3"/>
        <v>6.6339066339066333E-2</v>
      </c>
      <c r="I6" s="1" t="str">
        <f t="shared" si="4"/>
        <v>Misto</v>
      </c>
      <c r="J6" s="1" t="str">
        <v>Nessuna attività</v>
      </c>
      <c r="K6" s="1">
        <f t="shared" si="5"/>
        <v>4</v>
      </c>
      <c r="M6" s="7" t="str">
        <v>nbranchini</v>
      </c>
      <c r="N6" s="8">
        <v>1</v>
      </c>
      <c r="O6" s="8">
        <v>0</v>
      </c>
      <c r="P6" s="8">
        <v>11</v>
      </c>
      <c r="Q6" s="1">
        <v>12</v>
      </c>
      <c r="R6" s="6">
        <v>19.25</v>
      </c>
      <c r="S6" s="6">
        <v>3.9166666666666665</v>
      </c>
      <c r="T6" s="6">
        <v>4.5</v>
      </c>
    </row>
    <row r="7" spans="1:20" x14ac:dyDescent="0.25">
      <c r="A7" s="7" t="s">
        <v>13</v>
      </c>
      <c r="B7" s="8">
        <v>717</v>
      </c>
      <c r="C7" s="8">
        <v>36</v>
      </c>
      <c r="D7" s="8">
        <v>62</v>
      </c>
      <c r="E7" s="1">
        <f t="shared" si="0"/>
        <v>815</v>
      </c>
      <c r="F7" s="6">
        <f t="shared" si="1"/>
        <v>0.28343558282208586</v>
      </c>
      <c r="G7" s="6">
        <f t="shared" si="2"/>
        <v>5.7668711656441718E-2</v>
      </c>
      <c r="H7" s="6">
        <f t="shared" si="3"/>
        <v>6.6257668711656448E-2</v>
      </c>
      <c r="I7" s="1" t="str">
        <f t="shared" si="4"/>
        <v>Misto</v>
      </c>
      <c r="J7" s="1">
        <v>0</v>
      </c>
      <c r="K7" s="1">
        <f t="shared" si="5"/>
        <v>0</v>
      </c>
      <c r="M7" s="7" t="str">
        <v>ralessio</v>
      </c>
      <c r="N7" s="8">
        <v>0</v>
      </c>
      <c r="O7" s="8">
        <v>0</v>
      </c>
      <c r="P7" s="8">
        <v>0</v>
      </c>
      <c r="Q7" s="1">
        <v>0</v>
      </c>
      <c r="R7" s="6" t="e">
        <v>#DIV/0!</v>
      </c>
      <c r="S7" s="6" t="e">
        <v>#DIV/0!</v>
      </c>
      <c r="T7" s="6" t="e">
        <v>#DIV/0!</v>
      </c>
    </row>
    <row r="8" spans="1:20" x14ac:dyDescent="0.25">
      <c r="A8" s="7" t="s">
        <v>14</v>
      </c>
      <c r="B8" s="8">
        <v>1128</v>
      </c>
      <c r="C8" s="8">
        <v>8</v>
      </c>
      <c r="D8" s="8">
        <v>11</v>
      </c>
      <c r="E8" s="1">
        <f t="shared" si="0"/>
        <v>1147</v>
      </c>
      <c r="F8" s="6">
        <f t="shared" si="1"/>
        <v>0.20139494333042721</v>
      </c>
      <c r="G8" s="6">
        <f t="shared" si="2"/>
        <v>4.0976460331299043E-2</v>
      </c>
      <c r="H8" s="6">
        <f t="shared" si="3"/>
        <v>4.7079337401918046E-2</v>
      </c>
      <c r="I8" s="1" t="str">
        <f t="shared" si="4"/>
        <v>Misto</v>
      </c>
      <c r="M8" s="7" t="str">
        <v>sslavcheva</v>
      </c>
      <c r="N8" s="8">
        <v>1542</v>
      </c>
      <c r="O8" s="8">
        <v>1</v>
      </c>
      <c r="P8" s="8">
        <v>9</v>
      </c>
      <c r="Q8" s="1">
        <v>1552</v>
      </c>
      <c r="R8" s="6">
        <v>0.14884020618556701</v>
      </c>
      <c r="S8" s="6">
        <v>3.0283505154639175E-2</v>
      </c>
      <c r="T8" s="6">
        <v>3.4793814432989692E-2</v>
      </c>
    </row>
    <row r="9" spans="1:20" x14ac:dyDescent="0.25">
      <c r="A9" s="7" t="s">
        <v>15</v>
      </c>
      <c r="B9" s="8">
        <v>247</v>
      </c>
      <c r="C9" s="8">
        <v>42</v>
      </c>
      <c r="D9" s="8">
        <v>29</v>
      </c>
      <c r="E9" s="1">
        <f t="shared" si="0"/>
        <v>318</v>
      </c>
      <c r="F9" s="6">
        <f t="shared" si="1"/>
        <v>0.72641509433962259</v>
      </c>
      <c r="G9" s="6">
        <f t="shared" si="2"/>
        <v>0.14779874213836477</v>
      </c>
      <c r="H9" s="6">
        <f t="shared" si="3"/>
        <v>0.16981132075471697</v>
      </c>
      <c r="I9" s="1" t="str">
        <f t="shared" si="4"/>
        <v>Chat-based</v>
      </c>
      <c r="M9" s="7" t="str">
        <v>gcapuano</v>
      </c>
      <c r="N9" s="8">
        <v>429</v>
      </c>
      <c r="O9" s="8">
        <v>7</v>
      </c>
      <c r="P9" s="8">
        <v>4</v>
      </c>
      <c r="Q9" s="1">
        <v>440</v>
      </c>
      <c r="R9" s="6">
        <v>0.52500000000000002</v>
      </c>
      <c r="S9" s="6">
        <v>0.10681818181818181</v>
      </c>
      <c r="T9" s="6">
        <v>0.12272727272727273</v>
      </c>
    </row>
    <row r="10" spans="1:20" x14ac:dyDescent="0.25">
      <c r="A10" s="7" t="s">
        <v>16</v>
      </c>
      <c r="B10" s="8">
        <v>770</v>
      </c>
      <c r="C10" s="8">
        <v>103</v>
      </c>
      <c r="D10" s="8">
        <v>89</v>
      </c>
      <c r="E10" s="1">
        <f t="shared" si="0"/>
        <v>962</v>
      </c>
      <c r="F10" s="6">
        <f t="shared" si="1"/>
        <v>0.24012474012474014</v>
      </c>
      <c r="G10" s="6">
        <f t="shared" si="2"/>
        <v>4.8856548856548859E-2</v>
      </c>
      <c r="H10" s="6">
        <f t="shared" si="3"/>
        <v>5.6133056133056136E-2</v>
      </c>
      <c r="I10" s="1" t="str">
        <f t="shared" si="4"/>
        <v>Misto</v>
      </c>
      <c r="M10" s="7" t="str">
        <v>aloffre</v>
      </c>
      <c r="N10" s="8">
        <v>1128</v>
      </c>
      <c r="O10" s="8">
        <v>8</v>
      </c>
      <c r="P10" s="8">
        <v>11</v>
      </c>
      <c r="Q10" s="1">
        <v>1147</v>
      </c>
      <c r="R10" s="6">
        <v>0.20139494333042721</v>
      </c>
      <c r="S10" s="6">
        <v>4.0976460331299043E-2</v>
      </c>
      <c r="T10" s="6">
        <v>4.7079337401918046E-2</v>
      </c>
    </row>
    <row r="11" spans="1:20" x14ac:dyDescent="0.25">
      <c r="A11" s="7" t="s">
        <v>17</v>
      </c>
      <c r="B11" s="8">
        <v>4443</v>
      </c>
      <c r="C11" s="8">
        <v>149</v>
      </c>
      <c r="D11" s="8">
        <v>99</v>
      </c>
      <c r="E11" s="1">
        <f t="shared" si="0"/>
        <v>4691</v>
      </c>
      <c r="F11" s="6">
        <f t="shared" si="1"/>
        <v>4.92432317203155E-2</v>
      </c>
      <c r="G11" s="6">
        <f t="shared" si="2"/>
        <v>1.0019185674696228E-2</v>
      </c>
      <c r="H11" s="6">
        <f t="shared" si="3"/>
        <v>1.151140481773609E-2</v>
      </c>
      <c r="I11" s="1" t="str">
        <f t="shared" si="4"/>
        <v>Misto</v>
      </c>
      <c r="M11" s="7" t="str">
        <v>vtani</v>
      </c>
      <c r="N11" s="8">
        <v>982</v>
      </c>
      <c r="O11" s="8">
        <v>10</v>
      </c>
      <c r="P11" s="8">
        <v>13</v>
      </c>
      <c r="Q11" s="1">
        <v>1005</v>
      </c>
      <c r="R11" s="6">
        <v>0.2298507462686567</v>
      </c>
      <c r="S11" s="6">
        <v>4.6766169154228855E-2</v>
      </c>
      <c r="T11" s="6">
        <v>5.3731343283582089E-2</v>
      </c>
    </row>
    <row r="12" spans="1:20" x14ac:dyDescent="0.25">
      <c r="A12" s="7" t="s">
        <v>18</v>
      </c>
      <c r="B12" s="8">
        <v>0</v>
      </c>
      <c r="C12" s="8">
        <v>0</v>
      </c>
      <c r="D12" s="8">
        <v>0</v>
      </c>
      <c r="E12" s="1">
        <f t="shared" si="0"/>
        <v>0</v>
      </c>
      <c r="F12" s="6" t="e">
        <f t="shared" si="1"/>
        <v>#DIV/0!</v>
      </c>
      <c r="G12" s="6" t="e">
        <f t="shared" si="2"/>
        <v>#DIV/0!</v>
      </c>
      <c r="H12" s="6" t="e">
        <f t="shared" si="3"/>
        <v>#DIV/0!</v>
      </c>
      <c r="I12" s="1" t="str">
        <f t="shared" si="4"/>
        <v>Nessuna attività</v>
      </c>
      <c r="M12" s="7" t="str">
        <v>dbadagliacca</v>
      </c>
      <c r="N12" s="8">
        <v>608</v>
      </c>
      <c r="O12" s="8">
        <v>13</v>
      </c>
      <c r="P12" s="8">
        <v>14</v>
      </c>
      <c r="Q12" s="1">
        <v>635</v>
      </c>
      <c r="R12" s="6">
        <v>0.36377952755905513</v>
      </c>
      <c r="S12" s="6">
        <v>7.4015748031496062E-2</v>
      </c>
      <c r="T12" s="6">
        <v>8.5039370078740156E-2</v>
      </c>
    </row>
    <row r="13" spans="1:20" x14ac:dyDescent="0.25">
      <c r="A13" s="7" t="s">
        <v>19</v>
      </c>
      <c r="B13" s="8">
        <v>608</v>
      </c>
      <c r="C13" s="8">
        <v>13</v>
      </c>
      <c r="D13" s="8">
        <v>14</v>
      </c>
      <c r="E13" s="1">
        <f t="shared" si="0"/>
        <v>635</v>
      </c>
      <c r="F13" s="6">
        <f t="shared" si="1"/>
        <v>0.36377952755905513</v>
      </c>
      <c r="G13" s="6">
        <f t="shared" si="2"/>
        <v>7.4015748031496062E-2</v>
      </c>
      <c r="H13" s="6">
        <f t="shared" si="3"/>
        <v>8.5039370078740156E-2</v>
      </c>
      <c r="I13" s="1" t="str">
        <f t="shared" si="4"/>
        <v>Misto</v>
      </c>
      <c r="M13" s="7" t="str">
        <v>koliveri</v>
      </c>
      <c r="N13" s="8">
        <v>117</v>
      </c>
      <c r="O13" s="8">
        <v>15</v>
      </c>
      <c r="P13" s="8">
        <v>1</v>
      </c>
      <c r="Q13" s="1">
        <v>133</v>
      </c>
      <c r="R13" s="6">
        <v>1.736842105263158</v>
      </c>
      <c r="S13" s="6">
        <v>0.35338345864661652</v>
      </c>
      <c r="T13" s="6">
        <v>0.40601503759398494</v>
      </c>
    </row>
    <row r="14" spans="1:20" x14ac:dyDescent="0.25">
      <c r="A14" s="7" t="s">
        <v>20</v>
      </c>
      <c r="B14" s="8">
        <v>651</v>
      </c>
      <c r="C14" s="8">
        <v>50</v>
      </c>
      <c r="D14" s="8">
        <v>87</v>
      </c>
      <c r="E14" s="1">
        <f t="shared" si="0"/>
        <v>788</v>
      </c>
      <c r="F14" s="6">
        <f t="shared" si="1"/>
        <v>0.29314720812182743</v>
      </c>
      <c r="G14" s="6">
        <f t="shared" si="2"/>
        <v>5.964467005076142E-2</v>
      </c>
      <c r="H14" s="6">
        <f t="shared" si="3"/>
        <v>6.8527918781725886E-2</v>
      </c>
      <c r="I14" s="1" t="str">
        <f t="shared" si="4"/>
        <v>Misto</v>
      </c>
      <c r="M14" s="7" t="str">
        <v>rtomini</v>
      </c>
      <c r="N14" s="8">
        <v>440</v>
      </c>
      <c r="O14" s="8">
        <v>18</v>
      </c>
      <c r="P14" s="8">
        <v>0</v>
      </c>
      <c r="Q14" s="1">
        <v>458</v>
      </c>
      <c r="R14" s="6">
        <v>0.50436681222707425</v>
      </c>
      <c r="S14" s="6">
        <v>0.10262008733624454</v>
      </c>
      <c r="T14" s="6">
        <v>0.11790393013100436</v>
      </c>
    </row>
    <row r="15" spans="1:20" x14ac:dyDescent="0.25">
      <c r="A15" s="7" t="s">
        <v>21</v>
      </c>
      <c r="B15" s="8">
        <v>2148</v>
      </c>
      <c r="C15" s="8">
        <v>44</v>
      </c>
      <c r="D15" s="8">
        <v>13</v>
      </c>
      <c r="E15" s="1">
        <f t="shared" si="0"/>
        <v>2205</v>
      </c>
      <c r="F15" s="6">
        <f t="shared" si="1"/>
        <v>0.10476190476190476</v>
      </c>
      <c r="G15" s="6">
        <f t="shared" si="2"/>
        <v>2.1315192743764172E-2</v>
      </c>
      <c r="H15" s="6">
        <f t="shared" si="3"/>
        <v>2.4489795918367346E-2</v>
      </c>
      <c r="I15" s="1" t="str">
        <f t="shared" si="4"/>
        <v>Misto</v>
      </c>
      <c r="M15" s="7" t="str">
        <v>ftrinca</v>
      </c>
      <c r="N15" s="8">
        <v>556</v>
      </c>
      <c r="O15" s="8">
        <v>19</v>
      </c>
      <c r="P15" s="8">
        <v>43</v>
      </c>
      <c r="Q15" s="1">
        <v>618</v>
      </c>
      <c r="R15" s="6">
        <v>0.37378640776699029</v>
      </c>
      <c r="S15" s="6">
        <v>7.605177993527508E-2</v>
      </c>
      <c r="T15" s="6">
        <v>8.7378640776699032E-2</v>
      </c>
    </row>
    <row r="16" spans="1:20" x14ac:dyDescent="0.25">
      <c r="A16" s="7" t="s">
        <v>22</v>
      </c>
      <c r="B16" s="8">
        <v>809</v>
      </c>
      <c r="C16" s="8">
        <v>59</v>
      </c>
      <c r="D16" s="8">
        <v>32</v>
      </c>
      <c r="E16" s="1">
        <f t="shared" si="0"/>
        <v>900</v>
      </c>
      <c r="F16" s="6">
        <f t="shared" si="1"/>
        <v>0.25666666666666665</v>
      </c>
      <c r="G16" s="6">
        <f t="shared" si="2"/>
        <v>5.2222222222222225E-2</v>
      </c>
      <c r="H16" s="6">
        <f t="shared" si="3"/>
        <v>0.06</v>
      </c>
      <c r="I16" s="1" t="str">
        <f t="shared" si="4"/>
        <v>Misto</v>
      </c>
      <c r="M16" s="7" t="str">
        <v>lbaldassarri</v>
      </c>
      <c r="N16" s="8">
        <v>1376</v>
      </c>
      <c r="O16" s="8">
        <v>22</v>
      </c>
      <c r="P16" s="8">
        <v>1</v>
      </c>
      <c r="Q16" s="1">
        <v>1399</v>
      </c>
      <c r="R16" s="6">
        <v>0.1651179413867048</v>
      </c>
      <c r="S16" s="6">
        <v>3.3595425303788423E-2</v>
      </c>
      <c r="T16" s="6">
        <v>3.8598999285203717E-2</v>
      </c>
    </row>
    <row r="17" spans="1:20" x14ac:dyDescent="0.25">
      <c r="A17" s="7" t="s">
        <v>23</v>
      </c>
      <c r="B17" s="8">
        <v>2529</v>
      </c>
      <c r="C17" s="8">
        <v>115</v>
      </c>
      <c r="D17" s="8">
        <v>75</v>
      </c>
      <c r="E17" s="1">
        <f t="shared" si="0"/>
        <v>2719</v>
      </c>
      <c r="F17" s="6">
        <f t="shared" si="1"/>
        <v>8.4957705038617132E-2</v>
      </c>
      <c r="G17" s="6">
        <f t="shared" si="2"/>
        <v>1.7285766826038985E-2</v>
      </c>
      <c r="H17" s="6">
        <f t="shared" si="3"/>
        <v>1.9860242736300111E-2</v>
      </c>
      <c r="I17" s="1" t="str">
        <f t="shared" si="4"/>
        <v>Misto</v>
      </c>
      <c r="M17" s="7" t="str">
        <v>adiforti</v>
      </c>
      <c r="N17" s="8">
        <v>774</v>
      </c>
      <c r="O17" s="8">
        <v>26</v>
      </c>
      <c r="P17" s="8">
        <v>14</v>
      </c>
      <c r="Q17" s="1">
        <v>814</v>
      </c>
      <c r="R17" s="6">
        <v>0.28378378378378377</v>
      </c>
      <c r="S17" s="6">
        <v>5.7739557739557738E-2</v>
      </c>
      <c r="T17" s="6">
        <v>6.6339066339066333E-2</v>
      </c>
    </row>
    <row r="18" spans="1:20" x14ac:dyDescent="0.25">
      <c r="A18" s="7" t="s">
        <v>24</v>
      </c>
      <c r="B18" s="8">
        <v>1276</v>
      </c>
      <c r="C18" s="8">
        <v>72</v>
      </c>
      <c r="D18" s="8">
        <v>59</v>
      </c>
      <c r="E18" s="1">
        <f t="shared" si="0"/>
        <v>1407</v>
      </c>
      <c r="F18" s="6">
        <f t="shared" si="1"/>
        <v>0.16417910447761194</v>
      </c>
      <c r="G18" s="6">
        <f t="shared" si="2"/>
        <v>3.3404406538734895E-2</v>
      </c>
      <c r="H18" s="6">
        <f t="shared" si="3"/>
        <v>3.8379530916844352E-2</v>
      </c>
      <c r="I18" s="1" t="str">
        <f t="shared" si="4"/>
        <v>Misto</v>
      </c>
      <c r="M18" s="7" t="str">
        <v>galoisi</v>
      </c>
      <c r="N18" s="8">
        <v>391</v>
      </c>
      <c r="O18" s="8">
        <v>31</v>
      </c>
      <c r="P18" s="8">
        <v>2</v>
      </c>
      <c r="Q18" s="1">
        <v>424</v>
      </c>
      <c r="R18" s="6">
        <v>0.54481132075471694</v>
      </c>
      <c r="S18" s="6">
        <v>0.11084905660377359</v>
      </c>
      <c r="T18" s="6">
        <v>0.12735849056603774</v>
      </c>
    </row>
    <row r="19" spans="1:20" x14ac:dyDescent="0.25">
      <c r="A19" s="7" t="s">
        <v>25</v>
      </c>
      <c r="B19" s="8">
        <v>0</v>
      </c>
      <c r="C19" s="8">
        <v>0</v>
      </c>
      <c r="D19" s="8">
        <v>0</v>
      </c>
      <c r="E19" s="1">
        <f t="shared" si="0"/>
        <v>0</v>
      </c>
      <c r="F19" s="6" t="e">
        <f t="shared" si="1"/>
        <v>#DIV/0!</v>
      </c>
      <c r="G19" s="6" t="e">
        <f t="shared" si="2"/>
        <v>#DIV/0!</v>
      </c>
      <c r="H19" s="6" t="e">
        <f t="shared" si="3"/>
        <v>#DIV/0!</v>
      </c>
      <c r="I19" s="1" t="str">
        <f t="shared" si="4"/>
        <v>Nessuna attività</v>
      </c>
      <c r="M19" s="7" t="str">
        <v>msorrentino</v>
      </c>
      <c r="N19" s="8">
        <v>2693</v>
      </c>
      <c r="O19" s="8">
        <v>32</v>
      </c>
      <c r="P19" s="8">
        <v>14</v>
      </c>
      <c r="Q19" s="1">
        <v>2739</v>
      </c>
      <c r="R19" s="6">
        <v>8.4337349397590355E-2</v>
      </c>
      <c r="S19" s="6">
        <v>1.7159547280029209E-2</v>
      </c>
      <c r="T19" s="6">
        <v>1.9715224534501644E-2</v>
      </c>
    </row>
    <row r="20" spans="1:20" x14ac:dyDescent="0.25">
      <c r="A20" s="7" t="s">
        <v>26</v>
      </c>
      <c r="B20" s="8">
        <v>1117</v>
      </c>
      <c r="C20" s="8">
        <v>88</v>
      </c>
      <c r="D20" s="8">
        <v>69</v>
      </c>
      <c r="E20" s="1">
        <f t="shared" si="0"/>
        <v>1274</v>
      </c>
      <c r="F20" s="6">
        <f t="shared" si="1"/>
        <v>0.18131868131868131</v>
      </c>
      <c r="G20" s="6">
        <f t="shared" si="2"/>
        <v>3.6891679748822605E-2</v>
      </c>
      <c r="H20" s="6">
        <f t="shared" si="3"/>
        <v>4.2386185243328101E-2</v>
      </c>
      <c r="I20" s="1" t="str">
        <f t="shared" si="4"/>
        <v>Misto</v>
      </c>
      <c r="M20" s="7" t="str">
        <v>lluzi</v>
      </c>
      <c r="N20" s="8">
        <v>577</v>
      </c>
      <c r="O20" s="8">
        <v>34</v>
      </c>
      <c r="P20" s="8">
        <v>48</v>
      </c>
      <c r="Q20" s="1">
        <v>659</v>
      </c>
      <c r="R20" s="6">
        <v>0.35053110773899848</v>
      </c>
      <c r="S20" s="6">
        <v>7.1320182094081946E-2</v>
      </c>
      <c r="T20" s="6">
        <v>8.1942336874051599E-2</v>
      </c>
    </row>
    <row r="21" spans="1:20" x14ac:dyDescent="0.25">
      <c r="A21" s="7" t="s">
        <v>27</v>
      </c>
      <c r="B21" s="8">
        <v>556</v>
      </c>
      <c r="C21" s="8">
        <v>19</v>
      </c>
      <c r="D21" s="8">
        <v>43</v>
      </c>
      <c r="E21" s="1">
        <f t="shared" si="0"/>
        <v>618</v>
      </c>
      <c r="F21" s="6">
        <f t="shared" si="1"/>
        <v>0.37378640776699029</v>
      </c>
      <c r="G21" s="6">
        <f t="shared" si="2"/>
        <v>7.605177993527508E-2</v>
      </c>
      <c r="H21" s="6">
        <f t="shared" si="3"/>
        <v>8.7378640776699032E-2</v>
      </c>
      <c r="I21" s="1" t="str">
        <f t="shared" si="4"/>
        <v>Misto</v>
      </c>
      <c r="M21" s="7" t="str">
        <v>afavilli</v>
      </c>
      <c r="N21" s="8">
        <v>717</v>
      </c>
      <c r="O21" s="8">
        <v>36</v>
      </c>
      <c r="P21" s="8">
        <v>62</v>
      </c>
      <c r="Q21" s="1">
        <v>815</v>
      </c>
      <c r="R21" s="6">
        <v>0.28343558282208586</v>
      </c>
      <c r="S21" s="6">
        <v>5.7668711656441718E-2</v>
      </c>
      <c r="T21" s="6">
        <v>6.6257668711656448E-2</v>
      </c>
    </row>
    <row r="22" spans="1:20" x14ac:dyDescent="0.25">
      <c r="A22" s="7" t="s">
        <v>28</v>
      </c>
      <c r="B22" s="8">
        <v>391</v>
      </c>
      <c r="C22" s="8">
        <v>31</v>
      </c>
      <c r="D22" s="8">
        <v>2</v>
      </c>
      <c r="E22" s="1">
        <f t="shared" si="0"/>
        <v>424</v>
      </c>
      <c r="F22" s="6">
        <f t="shared" si="1"/>
        <v>0.54481132075471694</v>
      </c>
      <c r="G22" s="6">
        <f t="shared" si="2"/>
        <v>0.11084905660377359</v>
      </c>
      <c r="H22" s="6">
        <f t="shared" si="3"/>
        <v>0.12735849056603774</v>
      </c>
      <c r="I22" s="1" t="str">
        <f t="shared" si="4"/>
        <v>Misto</v>
      </c>
      <c r="M22" s="7" t="str">
        <v>vbuscemi</v>
      </c>
      <c r="N22" s="8">
        <v>924</v>
      </c>
      <c r="O22" s="8">
        <v>37</v>
      </c>
      <c r="P22" s="8">
        <v>17</v>
      </c>
      <c r="Q22" s="1">
        <v>978</v>
      </c>
      <c r="R22" s="6">
        <v>0.2361963190184049</v>
      </c>
      <c r="S22" s="6">
        <v>4.8057259713701429E-2</v>
      </c>
      <c r="T22" s="6">
        <v>5.5214723926380369E-2</v>
      </c>
    </row>
    <row r="23" spans="1:20" x14ac:dyDescent="0.25">
      <c r="A23" s="7" t="s">
        <v>29</v>
      </c>
      <c r="B23" s="8">
        <v>429</v>
      </c>
      <c r="C23" s="8">
        <v>7</v>
      </c>
      <c r="D23" s="8">
        <v>4</v>
      </c>
      <c r="E23" s="1">
        <f t="shared" si="0"/>
        <v>440</v>
      </c>
      <c r="F23" s="6">
        <f t="shared" si="1"/>
        <v>0.52500000000000002</v>
      </c>
      <c r="G23" s="6">
        <f t="shared" si="2"/>
        <v>0.10681818181818181</v>
      </c>
      <c r="H23" s="6">
        <f t="shared" si="3"/>
        <v>0.12272727272727273</v>
      </c>
      <c r="I23" s="1" t="str">
        <f t="shared" si="4"/>
        <v>Misto</v>
      </c>
      <c r="M23" s="7" t="str">
        <v>gorlando</v>
      </c>
      <c r="N23" s="8">
        <v>1568</v>
      </c>
      <c r="O23" s="8">
        <v>39</v>
      </c>
      <c r="P23" s="8">
        <v>24</v>
      </c>
      <c r="Q23" s="1">
        <v>1631</v>
      </c>
      <c r="R23" s="6">
        <v>0.14163090128755365</v>
      </c>
      <c r="S23" s="6">
        <v>2.8816676885346414E-2</v>
      </c>
      <c r="T23" s="6">
        <v>3.3108522378908642E-2</v>
      </c>
    </row>
    <row r="24" spans="1:20" x14ac:dyDescent="0.25">
      <c r="A24" s="7" t="s">
        <v>30</v>
      </c>
      <c r="B24" s="8">
        <v>2499</v>
      </c>
      <c r="C24" s="8">
        <v>173</v>
      </c>
      <c r="D24" s="8">
        <v>88</v>
      </c>
      <c r="E24" s="1">
        <f t="shared" si="0"/>
        <v>2760</v>
      </c>
      <c r="F24" s="6">
        <f t="shared" si="1"/>
        <v>8.3695652173913046E-2</v>
      </c>
      <c r="G24" s="6">
        <f t="shared" si="2"/>
        <v>1.7028985507246377E-2</v>
      </c>
      <c r="H24" s="6">
        <f t="shared" si="3"/>
        <v>1.9565217391304349E-2</v>
      </c>
      <c r="I24" s="1" t="str">
        <f t="shared" si="4"/>
        <v>Misto</v>
      </c>
      <c r="M24" s="7" t="str">
        <v>segreteria</v>
      </c>
      <c r="N24" s="8">
        <v>3614</v>
      </c>
      <c r="O24" s="8">
        <v>41</v>
      </c>
      <c r="P24" s="8">
        <v>4</v>
      </c>
      <c r="Q24" s="1">
        <v>3659</v>
      </c>
      <c r="R24" s="6">
        <v>6.3132003279584584E-2</v>
      </c>
      <c r="S24" s="6">
        <v>1.2845039628313747E-2</v>
      </c>
      <c r="T24" s="6">
        <v>1.4758130636786007E-2</v>
      </c>
    </row>
    <row r="25" spans="1:20" x14ac:dyDescent="0.25">
      <c r="A25" s="7" t="s">
        <v>31</v>
      </c>
      <c r="B25" s="8">
        <v>1568</v>
      </c>
      <c r="C25" s="8">
        <v>39</v>
      </c>
      <c r="D25" s="8">
        <v>24</v>
      </c>
      <c r="E25" s="1">
        <f t="shared" si="0"/>
        <v>1631</v>
      </c>
      <c r="F25" s="6">
        <f t="shared" si="1"/>
        <v>0.14163090128755365</v>
      </c>
      <c r="G25" s="6">
        <f t="shared" si="2"/>
        <v>2.8816676885346414E-2</v>
      </c>
      <c r="H25" s="6">
        <f t="shared" si="3"/>
        <v>3.3108522378908642E-2</v>
      </c>
      <c r="I25" s="1" t="str">
        <f t="shared" si="4"/>
        <v>Misto</v>
      </c>
      <c r="M25" s="7" t="str">
        <v>abuffa</v>
      </c>
      <c r="N25" s="8">
        <v>770</v>
      </c>
      <c r="O25" s="8">
        <v>42</v>
      </c>
      <c r="P25" s="8">
        <v>17</v>
      </c>
      <c r="Q25" s="1">
        <v>829</v>
      </c>
      <c r="R25" s="6">
        <v>0.27864897466827504</v>
      </c>
      <c r="S25" s="6">
        <v>5.6694813027744269E-2</v>
      </c>
      <c r="T25" s="6">
        <v>6.513872135102533E-2</v>
      </c>
    </row>
    <row r="26" spans="1:20" x14ac:dyDescent="0.25">
      <c r="A26" s="7" t="s">
        <v>32</v>
      </c>
      <c r="B26" s="8">
        <v>502</v>
      </c>
      <c r="C26" s="8">
        <v>90</v>
      </c>
      <c r="D26" s="8">
        <v>6</v>
      </c>
      <c r="E26" s="1">
        <f t="shared" si="0"/>
        <v>598</v>
      </c>
      <c r="F26" s="6">
        <f t="shared" si="1"/>
        <v>0.38628762541806022</v>
      </c>
      <c r="G26" s="6">
        <f t="shared" si="2"/>
        <v>7.8595317725752512E-2</v>
      </c>
      <c r="H26" s="6">
        <f t="shared" si="3"/>
        <v>9.0301003344481601E-2</v>
      </c>
      <c r="I26" s="1" t="str">
        <f t="shared" si="4"/>
        <v>Misto</v>
      </c>
      <c r="M26" s="7" t="str">
        <v>apanigada</v>
      </c>
      <c r="N26" s="8">
        <v>247</v>
      </c>
      <c r="O26" s="8">
        <v>42</v>
      </c>
      <c r="P26" s="8">
        <v>29</v>
      </c>
      <c r="Q26" s="1">
        <v>318</v>
      </c>
      <c r="R26" s="6">
        <v>0.72641509433962259</v>
      </c>
      <c r="S26" s="6">
        <v>0.14779874213836477</v>
      </c>
      <c r="T26" s="6">
        <v>0.16981132075471697</v>
      </c>
    </row>
    <row r="27" spans="1:20" x14ac:dyDescent="0.25">
      <c r="A27" s="7" t="s">
        <v>33</v>
      </c>
      <c r="B27" s="8">
        <v>974</v>
      </c>
      <c r="C27" s="8">
        <v>105</v>
      </c>
      <c r="D27" s="8">
        <v>48</v>
      </c>
      <c r="E27" s="1">
        <f t="shared" si="0"/>
        <v>1127</v>
      </c>
      <c r="F27" s="6">
        <f t="shared" si="1"/>
        <v>0.20496894409937888</v>
      </c>
      <c r="G27" s="6">
        <f t="shared" si="2"/>
        <v>4.17036379769299E-2</v>
      </c>
      <c r="H27" s="6">
        <f t="shared" si="3"/>
        <v>4.7914818101153507E-2</v>
      </c>
      <c r="I27" s="1" t="str">
        <f t="shared" si="4"/>
        <v>Misto</v>
      </c>
      <c r="M27" s="7" t="str">
        <v>dsammartano</v>
      </c>
      <c r="N27" s="8">
        <v>2148</v>
      </c>
      <c r="O27" s="8">
        <v>44</v>
      </c>
      <c r="P27" s="8">
        <v>13</v>
      </c>
      <c r="Q27" s="1">
        <v>2205</v>
      </c>
      <c r="R27" s="6">
        <v>0.10476190476190476</v>
      </c>
      <c r="S27" s="6">
        <v>2.1315192743764172E-2</v>
      </c>
      <c r="T27" s="6">
        <v>2.4489795918367346E-2</v>
      </c>
    </row>
    <row r="28" spans="1:20" x14ac:dyDescent="0.25">
      <c r="A28" s="7" t="s">
        <v>34</v>
      </c>
      <c r="B28" s="8">
        <v>117</v>
      </c>
      <c r="C28" s="8">
        <v>15</v>
      </c>
      <c r="D28" s="8">
        <v>1</v>
      </c>
      <c r="E28" s="1">
        <f t="shared" si="0"/>
        <v>133</v>
      </c>
      <c r="F28" s="6">
        <f t="shared" si="1"/>
        <v>1.736842105263158</v>
      </c>
      <c r="G28" s="6">
        <f t="shared" si="2"/>
        <v>0.35338345864661652</v>
      </c>
      <c r="H28" s="6">
        <f t="shared" si="3"/>
        <v>0.40601503759398494</v>
      </c>
      <c r="I28" s="1" t="str">
        <f t="shared" si="4"/>
        <v>Chat-based</v>
      </c>
      <c r="M28" s="7" t="str">
        <v>aaranyi</v>
      </c>
      <c r="N28" s="8">
        <v>231</v>
      </c>
      <c r="O28" s="8">
        <v>47</v>
      </c>
      <c r="P28" s="8">
        <v>54</v>
      </c>
      <c r="Q28" s="1">
        <v>332</v>
      </c>
      <c r="R28" s="6">
        <v>0.69578313253012047</v>
      </c>
      <c r="S28" s="6">
        <v>0.14156626506024098</v>
      </c>
      <c r="T28" s="6">
        <v>0.16265060240963855</v>
      </c>
    </row>
    <row r="29" spans="1:20" x14ac:dyDescent="0.25">
      <c r="A29" s="7" t="s">
        <v>35</v>
      </c>
      <c r="B29" s="8">
        <v>1376</v>
      </c>
      <c r="C29" s="8">
        <v>22</v>
      </c>
      <c r="D29" s="8">
        <v>1</v>
      </c>
      <c r="E29" s="1">
        <f t="shared" si="0"/>
        <v>1399</v>
      </c>
      <c r="F29" s="6">
        <f t="shared" si="1"/>
        <v>0.1651179413867048</v>
      </c>
      <c r="G29" s="6">
        <f t="shared" si="2"/>
        <v>3.3595425303788423E-2</v>
      </c>
      <c r="H29" s="6">
        <f t="shared" si="3"/>
        <v>3.8598999285203717E-2</v>
      </c>
      <c r="I29" s="1" t="str">
        <f t="shared" si="4"/>
        <v>Misto</v>
      </c>
      <c r="M29" s="7" t="str">
        <v>dberardi</v>
      </c>
      <c r="N29" s="8">
        <v>651</v>
      </c>
      <c r="O29" s="8">
        <v>50</v>
      </c>
      <c r="P29" s="8">
        <v>87</v>
      </c>
      <c r="Q29" s="1">
        <v>788</v>
      </c>
      <c r="R29" s="6">
        <v>0.29314720812182743</v>
      </c>
      <c r="S29" s="6">
        <v>5.964467005076142E-2</v>
      </c>
      <c r="T29" s="6">
        <v>6.8527918781725886E-2</v>
      </c>
    </row>
    <row r="30" spans="1:20" x14ac:dyDescent="0.25">
      <c r="A30" s="7" t="s">
        <v>36</v>
      </c>
      <c r="B30" s="8">
        <v>577</v>
      </c>
      <c r="C30" s="8">
        <v>34</v>
      </c>
      <c r="D30" s="8">
        <v>48</v>
      </c>
      <c r="E30" s="1">
        <f t="shared" si="0"/>
        <v>659</v>
      </c>
      <c r="F30" s="6">
        <f t="shared" si="1"/>
        <v>0.35053110773899848</v>
      </c>
      <c r="G30" s="6">
        <f t="shared" si="2"/>
        <v>7.1320182094081946E-2</v>
      </c>
      <c r="H30" s="6">
        <f t="shared" si="3"/>
        <v>8.1942336874051599E-2</v>
      </c>
      <c r="I30" s="1" t="str">
        <f t="shared" si="4"/>
        <v>Misto</v>
      </c>
      <c r="M30" s="7" t="str">
        <v>rbaldassarre</v>
      </c>
      <c r="N30" s="8">
        <v>736</v>
      </c>
      <c r="O30" s="8">
        <v>50</v>
      </c>
      <c r="P30" s="8">
        <v>20</v>
      </c>
      <c r="Q30" s="1">
        <v>806</v>
      </c>
      <c r="R30" s="6">
        <v>0.28660049627791562</v>
      </c>
      <c r="S30" s="6">
        <v>5.8312655086848637E-2</v>
      </c>
      <c r="T30" s="6">
        <v>6.699751861042183E-2</v>
      </c>
    </row>
    <row r="31" spans="1:20" x14ac:dyDescent="0.25">
      <c r="A31" s="7" t="s">
        <v>37</v>
      </c>
      <c r="B31" s="8">
        <v>496</v>
      </c>
      <c r="C31" s="8">
        <v>65</v>
      </c>
      <c r="D31" s="8">
        <v>35</v>
      </c>
      <c r="E31" s="1">
        <f t="shared" si="0"/>
        <v>596</v>
      </c>
      <c r="F31" s="6">
        <f t="shared" si="1"/>
        <v>0.38758389261744969</v>
      </c>
      <c r="G31" s="6">
        <f t="shared" si="2"/>
        <v>7.8859060402684561E-2</v>
      </c>
      <c r="H31" s="6">
        <f t="shared" si="3"/>
        <v>9.0604026845637578E-2</v>
      </c>
      <c r="I31" s="1" t="str">
        <f t="shared" si="4"/>
        <v>Misto</v>
      </c>
      <c r="M31" s="7" t="str">
        <v>scipriani</v>
      </c>
      <c r="N31" s="8">
        <v>844</v>
      </c>
      <c r="O31" s="8">
        <v>50</v>
      </c>
      <c r="P31" s="8">
        <v>32</v>
      </c>
      <c r="Q31" s="1">
        <v>926</v>
      </c>
      <c r="R31" s="6">
        <v>0.24946004319654427</v>
      </c>
      <c r="S31" s="6">
        <v>5.0755939524838013E-2</v>
      </c>
      <c r="T31" s="6">
        <v>5.8315334773218146E-2</v>
      </c>
    </row>
    <row r="32" spans="1:20" x14ac:dyDescent="0.25">
      <c r="A32" s="7" t="s">
        <v>38</v>
      </c>
      <c r="B32" s="8">
        <v>1342</v>
      </c>
      <c r="C32" s="8">
        <v>119</v>
      </c>
      <c r="D32" s="8">
        <v>40</v>
      </c>
      <c r="E32" s="1">
        <f t="shared" si="0"/>
        <v>1501</v>
      </c>
      <c r="F32" s="6">
        <f t="shared" si="1"/>
        <v>0.15389740173217856</v>
      </c>
      <c r="G32" s="6">
        <f t="shared" si="2"/>
        <v>3.1312458361092602E-2</v>
      </c>
      <c r="H32" s="6">
        <f t="shared" si="3"/>
        <v>3.5976015989340443E-2</v>
      </c>
      <c r="I32" s="1" t="str">
        <f t="shared" si="4"/>
        <v>Misto</v>
      </c>
      <c r="M32" s="7" t="str">
        <v>mtonoli</v>
      </c>
      <c r="N32" s="8">
        <v>2335</v>
      </c>
      <c r="O32" s="8">
        <v>58</v>
      </c>
      <c r="P32" s="8">
        <v>16</v>
      </c>
      <c r="Q32" s="1">
        <v>2409</v>
      </c>
      <c r="R32" s="6">
        <v>9.5890410958904104E-2</v>
      </c>
      <c r="S32" s="6">
        <v>1.9510170195101702E-2</v>
      </c>
      <c r="T32" s="6">
        <v>2.2415940224159402E-2</v>
      </c>
    </row>
    <row r="33" spans="1:20" x14ac:dyDescent="0.25">
      <c r="A33" s="7" t="s">
        <v>39</v>
      </c>
      <c r="B33" s="8">
        <v>791</v>
      </c>
      <c r="C33" s="8">
        <v>73</v>
      </c>
      <c r="D33" s="8">
        <v>26</v>
      </c>
      <c r="E33" s="1">
        <f t="shared" si="0"/>
        <v>890</v>
      </c>
      <c r="F33" s="6">
        <f t="shared" si="1"/>
        <v>0.25955056179775282</v>
      </c>
      <c r="G33" s="6">
        <f t="shared" si="2"/>
        <v>5.2808988764044947E-2</v>
      </c>
      <c r="H33" s="6">
        <f t="shared" si="3"/>
        <v>6.0674157303370786E-2</v>
      </c>
      <c r="I33" s="1" t="str">
        <f t="shared" si="4"/>
        <v>Misto</v>
      </c>
      <c r="M33" s="7" t="str">
        <v>fbuscemi</v>
      </c>
      <c r="N33" s="8">
        <v>809</v>
      </c>
      <c r="O33" s="8">
        <v>59</v>
      </c>
      <c r="P33" s="8">
        <v>32</v>
      </c>
      <c r="Q33" s="1">
        <v>900</v>
      </c>
      <c r="R33" s="6">
        <v>0.25666666666666665</v>
      </c>
      <c r="S33" s="6">
        <v>5.2222222222222225E-2</v>
      </c>
      <c r="T33" s="6">
        <v>0.06</v>
      </c>
    </row>
    <row r="34" spans="1:20" x14ac:dyDescent="0.25">
      <c r="A34" s="7" t="s">
        <v>40</v>
      </c>
      <c r="B34" s="8">
        <v>2693</v>
      </c>
      <c r="C34" s="8">
        <v>32</v>
      </c>
      <c r="D34" s="8">
        <v>14</v>
      </c>
      <c r="E34" s="1">
        <f t="shared" si="0"/>
        <v>2739</v>
      </c>
      <c r="F34" s="6">
        <f t="shared" si="1"/>
        <v>8.4337349397590355E-2</v>
      </c>
      <c r="G34" s="6">
        <f t="shared" si="2"/>
        <v>1.7159547280029209E-2</v>
      </c>
      <c r="H34" s="6">
        <f t="shared" si="3"/>
        <v>1.9715224534501644E-2</v>
      </c>
      <c r="I34" s="1" t="str">
        <f t="shared" si="4"/>
        <v>Misto</v>
      </c>
      <c r="M34" s="7" t="str">
        <v>lzinno</v>
      </c>
      <c r="N34" s="8">
        <v>496</v>
      </c>
      <c r="O34" s="8">
        <v>65</v>
      </c>
      <c r="P34" s="8">
        <v>35</v>
      </c>
      <c r="Q34" s="1">
        <v>596</v>
      </c>
      <c r="R34" s="6">
        <v>0.38758389261744969</v>
      </c>
      <c r="S34" s="6">
        <v>7.8859060402684561E-2</v>
      </c>
      <c r="T34" s="6">
        <v>9.0604026845637578E-2</v>
      </c>
    </row>
    <row r="35" spans="1:20" x14ac:dyDescent="0.25">
      <c r="A35" s="7" t="s">
        <v>41</v>
      </c>
      <c r="B35" s="8">
        <v>2335</v>
      </c>
      <c r="C35" s="8">
        <v>58</v>
      </c>
      <c r="D35" s="8">
        <v>16</v>
      </c>
      <c r="E35" s="1">
        <f t="shared" si="0"/>
        <v>2409</v>
      </c>
      <c r="F35" s="6">
        <f t="shared" si="1"/>
        <v>9.5890410958904104E-2</v>
      </c>
      <c r="G35" s="6">
        <f t="shared" si="2"/>
        <v>1.9510170195101702E-2</v>
      </c>
      <c r="H35" s="6">
        <f t="shared" si="3"/>
        <v>2.2415940224159402E-2</v>
      </c>
      <c r="I35" s="1" t="str">
        <f t="shared" si="4"/>
        <v>Misto</v>
      </c>
      <c r="M35" s="7" t="str">
        <v>ppompeo</v>
      </c>
      <c r="N35" s="8">
        <v>4060</v>
      </c>
      <c r="O35" s="8">
        <v>71</v>
      </c>
      <c r="P35" s="8">
        <v>14</v>
      </c>
      <c r="Q35" s="1">
        <v>4145</v>
      </c>
      <c r="R35" s="6">
        <v>5.5729794933655007E-2</v>
      </c>
      <c r="S35" s="6">
        <v>1.1338962605548853E-2</v>
      </c>
      <c r="T35" s="6">
        <v>1.3027744270205066E-2</v>
      </c>
    </row>
    <row r="36" spans="1:20" x14ac:dyDescent="0.25">
      <c r="A36" s="7" t="s">
        <v>42</v>
      </c>
      <c r="B36" s="8">
        <v>446</v>
      </c>
      <c r="C36" s="8">
        <v>77</v>
      </c>
      <c r="D36" s="8">
        <v>42</v>
      </c>
      <c r="E36" s="1">
        <f t="shared" si="0"/>
        <v>565</v>
      </c>
      <c r="F36" s="6">
        <f t="shared" si="1"/>
        <v>0.40884955752212387</v>
      </c>
      <c r="G36" s="6">
        <f t="shared" si="2"/>
        <v>8.3185840707964601E-2</v>
      </c>
      <c r="H36" s="6">
        <f t="shared" si="3"/>
        <v>9.5575221238938052E-2</v>
      </c>
      <c r="I36" s="1" t="str">
        <f t="shared" si="4"/>
        <v>Misto</v>
      </c>
      <c r="M36" s="7" t="str">
        <v>fpandolfi</v>
      </c>
      <c r="N36" s="8">
        <v>1276</v>
      </c>
      <c r="O36" s="8">
        <v>72</v>
      </c>
      <c r="P36" s="8">
        <v>59</v>
      </c>
      <c r="Q36" s="1">
        <v>1407</v>
      </c>
      <c r="R36" s="6">
        <v>0.16417910447761194</v>
      </c>
      <c r="S36" s="6">
        <v>3.3404406538734895E-2</v>
      </c>
      <c r="T36" s="6">
        <v>3.8379530916844352E-2</v>
      </c>
    </row>
    <row r="37" spans="1:20" x14ac:dyDescent="0.25">
      <c r="A37" s="7" t="s">
        <v>43</v>
      </c>
      <c r="B37" s="8">
        <v>1</v>
      </c>
      <c r="C37" s="8">
        <v>0</v>
      </c>
      <c r="D37" s="8">
        <v>11</v>
      </c>
      <c r="E37" s="1">
        <f t="shared" si="0"/>
        <v>12</v>
      </c>
      <c r="F37" s="6">
        <f t="shared" si="1"/>
        <v>19.25</v>
      </c>
      <c r="G37" s="6">
        <f t="shared" si="2"/>
        <v>3.9166666666666665</v>
      </c>
      <c r="H37" s="6">
        <f t="shared" si="3"/>
        <v>4.5</v>
      </c>
      <c r="I37" s="1" t="str">
        <f t="shared" si="4"/>
        <v>Chat-based</v>
      </c>
      <c r="M37" s="7" t="str">
        <v>vfalbo</v>
      </c>
      <c r="N37" s="8">
        <v>727</v>
      </c>
      <c r="O37" s="8">
        <v>72</v>
      </c>
      <c r="P37" s="8">
        <v>34</v>
      </c>
      <c r="Q37" s="1">
        <v>833</v>
      </c>
      <c r="R37" s="6">
        <v>0.27731092436974791</v>
      </c>
      <c r="S37" s="6">
        <v>5.6422569027611044E-2</v>
      </c>
      <c r="T37" s="6">
        <v>6.4825930372148857E-2</v>
      </c>
    </row>
    <row r="38" spans="1:20" x14ac:dyDescent="0.25">
      <c r="A38" s="7" t="s">
        <v>44</v>
      </c>
      <c r="B38" s="8">
        <v>3612</v>
      </c>
      <c r="C38" s="8">
        <v>136</v>
      </c>
      <c r="D38" s="8">
        <v>35</v>
      </c>
      <c r="E38" s="1">
        <f t="shared" si="0"/>
        <v>3783</v>
      </c>
      <c r="F38" s="6">
        <f t="shared" si="1"/>
        <v>6.1062648691514669E-2</v>
      </c>
      <c r="G38" s="6">
        <f t="shared" si="2"/>
        <v>1.2424002114723763E-2</v>
      </c>
      <c r="H38" s="6">
        <f t="shared" si="3"/>
        <v>1.4274385408406027E-2</v>
      </c>
      <c r="I38" s="1" t="str">
        <f t="shared" si="4"/>
        <v>Misto</v>
      </c>
      <c r="M38" s="7" t="str">
        <v>mbruno</v>
      </c>
      <c r="N38" s="8">
        <v>791</v>
      </c>
      <c r="O38" s="8">
        <v>73</v>
      </c>
      <c r="P38" s="8">
        <v>26</v>
      </c>
      <c r="Q38" s="1">
        <v>890</v>
      </c>
      <c r="R38" s="6">
        <v>0.25955056179775282</v>
      </c>
      <c r="S38" s="6">
        <v>5.2808988764044947E-2</v>
      </c>
      <c r="T38" s="6">
        <v>6.0674157303370786E-2</v>
      </c>
    </row>
    <row r="39" spans="1:20" x14ac:dyDescent="0.25">
      <c r="A39" s="7" t="s">
        <v>45</v>
      </c>
      <c r="B39" s="8">
        <v>2180</v>
      </c>
      <c r="C39" s="8">
        <v>121</v>
      </c>
      <c r="D39" s="8">
        <v>59</v>
      </c>
      <c r="E39" s="1">
        <f t="shared" si="0"/>
        <v>2360</v>
      </c>
      <c r="F39" s="6">
        <f t="shared" si="1"/>
        <v>9.7881355932203387E-2</v>
      </c>
      <c r="G39" s="6">
        <f t="shared" si="2"/>
        <v>1.9915254237288134E-2</v>
      </c>
      <c r="H39" s="6">
        <f t="shared" si="3"/>
        <v>2.288135593220339E-2</v>
      </c>
      <c r="I39" s="1" t="str">
        <f t="shared" si="4"/>
        <v>Misto</v>
      </c>
      <c r="M39" s="7" t="str">
        <v>smanzi</v>
      </c>
      <c r="N39" s="8">
        <v>801</v>
      </c>
      <c r="O39" s="8">
        <v>75</v>
      </c>
      <c r="P39" s="8">
        <v>14</v>
      </c>
      <c r="Q39" s="1">
        <v>890</v>
      </c>
      <c r="R39" s="6">
        <v>0.25955056179775282</v>
      </c>
      <c r="S39" s="6">
        <v>5.2808988764044947E-2</v>
      </c>
      <c r="T39" s="6">
        <v>6.0674157303370786E-2</v>
      </c>
    </row>
    <row r="40" spans="1:20" x14ac:dyDescent="0.25">
      <c r="A40" s="7" t="s">
        <v>46</v>
      </c>
      <c r="B40" s="8">
        <v>1069</v>
      </c>
      <c r="C40" s="8">
        <v>107</v>
      </c>
      <c r="D40" s="8">
        <v>15</v>
      </c>
      <c r="E40" s="1">
        <f t="shared" si="0"/>
        <v>1191</v>
      </c>
      <c r="F40" s="6">
        <f t="shared" si="1"/>
        <v>0.19395465994962216</v>
      </c>
      <c r="G40" s="6">
        <f t="shared" si="2"/>
        <v>3.9462636439966413E-2</v>
      </c>
      <c r="H40" s="6">
        <f t="shared" si="3"/>
        <v>4.534005037783375E-2</v>
      </c>
      <c r="I40" s="1" t="str">
        <f t="shared" si="4"/>
        <v>Misto</v>
      </c>
      <c r="M40" s="7" t="str">
        <v>mvitamia</v>
      </c>
      <c r="N40" s="8">
        <v>446</v>
      </c>
      <c r="O40" s="8">
        <v>77</v>
      </c>
      <c r="P40" s="8">
        <v>42</v>
      </c>
      <c r="Q40" s="1">
        <v>565</v>
      </c>
      <c r="R40" s="6">
        <v>0.40884955752212387</v>
      </c>
      <c r="S40" s="6">
        <v>8.3185840707964601E-2</v>
      </c>
      <c r="T40" s="6">
        <v>9.5575221238938052E-2</v>
      </c>
    </row>
    <row r="41" spans="1:20" x14ac:dyDescent="0.25">
      <c r="A41" s="7" t="s">
        <v>47</v>
      </c>
      <c r="B41" s="8">
        <v>4060</v>
      </c>
      <c r="C41" s="8">
        <v>71</v>
      </c>
      <c r="D41" s="8">
        <v>14</v>
      </c>
      <c r="E41" s="1">
        <f t="shared" si="0"/>
        <v>4145</v>
      </c>
      <c r="F41" s="6">
        <f t="shared" si="1"/>
        <v>5.5729794933655007E-2</v>
      </c>
      <c r="G41" s="6">
        <f t="shared" si="2"/>
        <v>1.1338962605548853E-2</v>
      </c>
      <c r="H41" s="6">
        <f t="shared" si="3"/>
        <v>1.3027744270205066E-2</v>
      </c>
      <c r="I41" s="1" t="str">
        <f t="shared" si="4"/>
        <v>Misto</v>
      </c>
      <c r="M41" s="7" t="str">
        <v>fromano</v>
      </c>
      <c r="N41" s="8">
        <v>1117</v>
      </c>
      <c r="O41" s="8">
        <v>88</v>
      </c>
      <c r="P41" s="8">
        <v>69</v>
      </c>
      <c r="Q41" s="1">
        <v>1274</v>
      </c>
      <c r="R41" s="6">
        <v>0.18131868131868131</v>
      </c>
      <c r="S41" s="6">
        <v>3.6891679748822605E-2</v>
      </c>
      <c r="T41" s="6">
        <v>4.2386185243328101E-2</v>
      </c>
    </row>
    <row r="42" spans="1:20" x14ac:dyDescent="0.25">
      <c r="A42" s="7" t="s">
        <v>48</v>
      </c>
      <c r="B42" s="8">
        <v>0</v>
      </c>
      <c r="C42" s="8">
        <v>0</v>
      </c>
      <c r="D42" s="8">
        <v>0</v>
      </c>
      <c r="E42" s="1">
        <f t="shared" si="0"/>
        <v>0</v>
      </c>
      <c r="F42" s="6" t="e">
        <f t="shared" si="1"/>
        <v>#DIV/0!</v>
      </c>
      <c r="G42" s="6" t="e">
        <f t="shared" si="2"/>
        <v>#DIV/0!</v>
      </c>
      <c r="H42" s="6" t="e">
        <f t="shared" si="3"/>
        <v>#DIV/0!</v>
      </c>
      <c r="I42" s="1" t="str">
        <f t="shared" si="4"/>
        <v>Nessuna attività</v>
      </c>
      <c r="M42" s="7" t="str">
        <v>ischillizzi</v>
      </c>
      <c r="N42" s="8">
        <v>502</v>
      </c>
      <c r="O42" s="8">
        <v>90</v>
      </c>
      <c r="P42" s="8">
        <v>6</v>
      </c>
      <c r="Q42" s="1">
        <v>598</v>
      </c>
      <c r="R42" s="6">
        <v>0.38628762541806022</v>
      </c>
      <c r="S42" s="6">
        <v>7.8595317725752512E-2</v>
      </c>
      <c r="T42" s="6">
        <v>9.0301003344481601E-2</v>
      </c>
    </row>
    <row r="43" spans="1:20" x14ac:dyDescent="0.25">
      <c r="A43" s="7" t="s">
        <v>49</v>
      </c>
      <c r="B43" s="8">
        <v>736</v>
      </c>
      <c r="C43" s="8">
        <v>50</v>
      </c>
      <c r="D43" s="8">
        <v>20</v>
      </c>
      <c r="E43" s="1">
        <f t="shared" si="0"/>
        <v>806</v>
      </c>
      <c r="F43" s="6">
        <f t="shared" si="1"/>
        <v>0.28660049627791562</v>
      </c>
      <c r="G43" s="6">
        <f t="shared" si="2"/>
        <v>5.8312655086848637E-2</v>
      </c>
      <c r="H43" s="6">
        <f t="shared" si="3"/>
        <v>6.699751861042183E-2</v>
      </c>
      <c r="I43" s="1" t="str">
        <f t="shared" si="4"/>
        <v>Misto</v>
      </c>
      <c r="M43" s="7" t="str">
        <v>vdamico</v>
      </c>
      <c r="N43" s="8">
        <v>868</v>
      </c>
      <c r="O43" s="8">
        <v>92</v>
      </c>
      <c r="P43" s="8">
        <v>42</v>
      </c>
      <c r="Q43" s="1">
        <v>1002</v>
      </c>
      <c r="R43" s="6">
        <v>0.23053892215568864</v>
      </c>
      <c r="S43" s="6">
        <v>4.6906187624750496E-2</v>
      </c>
      <c r="T43" s="6">
        <v>5.3892215568862277E-2</v>
      </c>
    </row>
    <row r="44" spans="1:20" x14ac:dyDescent="0.25">
      <c r="A44" s="7" t="s">
        <v>50</v>
      </c>
      <c r="B44" s="8">
        <v>440</v>
      </c>
      <c r="C44" s="8">
        <v>18</v>
      </c>
      <c r="D44" s="8">
        <v>0</v>
      </c>
      <c r="E44" s="1">
        <f t="shared" si="0"/>
        <v>458</v>
      </c>
      <c r="F44" s="6">
        <f t="shared" si="1"/>
        <v>0.50436681222707425</v>
      </c>
      <c r="G44" s="6">
        <f t="shared" si="2"/>
        <v>0.10262008733624454</v>
      </c>
      <c r="H44" s="6">
        <f t="shared" si="3"/>
        <v>0.11790393013100436</v>
      </c>
      <c r="I44" s="1" t="str">
        <f t="shared" si="4"/>
        <v>Misto</v>
      </c>
      <c r="M44" s="7" t="str">
        <v>apietrangeli</v>
      </c>
      <c r="N44" s="8">
        <v>770</v>
      </c>
      <c r="O44" s="8">
        <v>103</v>
      </c>
      <c r="P44" s="8">
        <v>89</v>
      </c>
      <c r="Q44" s="1">
        <v>962</v>
      </c>
      <c r="R44" s="6">
        <v>0.24012474012474014</v>
      </c>
      <c r="S44" s="6">
        <v>4.8856548856548859E-2</v>
      </c>
      <c r="T44" s="6">
        <v>5.6133056133056136E-2</v>
      </c>
    </row>
    <row r="45" spans="1:20" x14ac:dyDescent="0.25">
      <c r="A45" s="7" t="s">
        <v>51</v>
      </c>
      <c r="B45" s="8">
        <v>844</v>
      </c>
      <c r="C45" s="8">
        <v>50</v>
      </c>
      <c r="D45" s="8">
        <v>32</v>
      </c>
      <c r="E45" s="1">
        <f t="shared" si="0"/>
        <v>926</v>
      </c>
      <c r="F45" s="6">
        <f t="shared" si="1"/>
        <v>0.24946004319654427</v>
      </c>
      <c r="G45" s="6">
        <f t="shared" si="2"/>
        <v>5.0755939524838013E-2</v>
      </c>
      <c r="H45" s="6">
        <f t="shared" si="3"/>
        <v>5.8315334773218146E-2</v>
      </c>
      <c r="I45" s="1" t="str">
        <f t="shared" si="4"/>
        <v>Misto</v>
      </c>
      <c r="M45" s="7" t="str">
        <v>jcotti</v>
      </c>
      <c r="N45" s="8">
        <v>974</v>
      </c>
      <c r="O45" s="8">
        <v>105</v>
      </c>
      <c r="P45" s="8">
        <v>48</v>
      </c>
      <c r="Q45" s="1">
        <v>1127</v>
      </c>
      <c r="R45" s="6">
        <v>0.20496894409937888</v>
      </c>
      <c r="S45" s="6">
        <v>4.17036379769299E-2</v>
      </c>
      <c r="T45" s="6">
        <v>4.7914818101153507E-2</v>
      </c>
    </row>
    <row r="46" spans="1:20" x14ac:dyDescent="0.25">
      <c r="A46" s="7" t="s">
        <v>52</v>
      </c>
      <c r="B46" s="8">
        <v>3614</v>
      </c>
      <c r="C46" s="8">
        <v>41</v>
      </c>
      <c r="D46" s="8">
        <v>4</v>
      </c>
      <c r="E46" s="1">
        <f t="shared" si="0"/>
        <v>3659</v>
      </c>
      <c r="F46" s="6">
        <f t="shared" si="1"/>
        <v>6.3132003279584584E-2</v>
      </c>
      <c r="G46" s="6">
        <f t="shared" si="2"/>
        <v>1.2845039628313747E-2</v>
      </c>
      <c r="H46" s="6">
        <f t="shared" si="3"/>
        <v>1.4758130636786007E-2</v>
      </c>
      <c r="I46" s="1" t="str">
        <f t="shared" si="4"/>
        <v>Misto</v>
      </c>
      <c r="M46" s="7" t="str">
        <v>pgiordani</v>
      </c>
      <c r="N46" s="8">
        <v>1069</v>
      </c>
      <c r="O46" s="8">
        <v>107</v>
      </c>
      <c r="P46" s="8">
        <v>15</v>
      </c>
      <c r="Q46" s="1">
        <v>1191</v>
      </c>
      <c r="R46" s="6">
        <v>0.19395465994962216</v>
      </c>
      <c r="S46" s="6">
        <v>3.9462636439966413E-2</v>
      </c>
      <c r="T46" s="6">
        <v>4.534005037783375E-2</v>
      </c>
    </row>
    <row r="47" spans="1:20" x14ac:dyDescent="0.25">
      <c r="A47" s="7" t="s">
        <v>53</v>
      </c>
      <c r="B47" s="8">
        <v>801</v>
      </c>
      <c r="C47" s="8">
        <v>75</v>
      </c>
      <c r="D47" s="8">
        <v>14</v>
      </c>
      <c r="E47" s="1">
        <f t="shared" si="0"/>
        <v>890</v>
      </c>
      <c r="F47" s="6">
        <f t="shared" si="1"/>
        <v>0.25955056179775282</v>
      </c>
      <c r="G47" s="6">
        <f t="shared" si="2"/>
        <v>5.2808988764044947E-2</v>
      </c>
      <c r="H47" s="6">
        <f t="shared" si="3"/>
        <v>6.0674157303370786E-2</v>
      </c>
      <c r="I47" s="1" t="str">
        <f t="shared" si="4"/>
        <v>Misto</v>
      </c>
      <c r="M47" s="7" t="str">
        <v>fcarchedi</v>
      </c>
      <c r="N47" s="8">
        <v>2529</v>
      </c>
      <c r="O47" s="8">
        <v>115</v>
      </c>
      <c r="P47" s="8">
        <v>75</v>
      </c>
      <c r="Q47" s="1">
        <v>2719</v>
      </c>
      <c r="R47" s="6">
        <v>8.4957705038617132E-2</v>
      </c>
      <c r="S47" s="6">
        <v>1.7285766826038985E-2</v>
      </c>
      <c r="T47" s="6">
        <v>1.9860242736300111E-2</v>
      </c>
    </row>
    <row r="48" spans="1:20" x14ac:dyDescent="0.25">
      <c r="A48" s="7" t="s">
        <v>54</v>
      </c>
      <c r="B48" s="8">
        <v>1294</v>
      </c>
      <c r="C48" s="8">
        <v>201</v>
      </c>
      <c r="D48" s="8">
        <v>113</v>
      </c>
      <c r="E48" s="1">
        <f t="shared" si="0"/>
        <v>1608</v>
      </c>
      <c r="F48" s="6">
        <f t="shared" si="1"/>
        <v>0.14365671641791045</v>
      </c>
      <c r="G48" s="6">
        <f t="shared" si="2"/>
        <v>2.9228855721393034E-2</v>
      </c>
      <c r="H48" s="6">
        <f t="shared" si="3"/>
        <v>3.3582089552238806E-2</v>
      </c>
      <c r="I48" s="1" t="str">
        <f t="shared" si="4"/>
        <v>Misto</v>
      </c>
      <c r="M48" s="7" t="str">
        <v>mboi</v>
      </c>
      <c r="N48" s="8">
        <v>1342</v>
      </c>
      <c r="O48" s="8">
        <v>119</v>
      </c>
      <c r="P48" s="8">
        <v>40</v>
      </c>
      <c r="Q48" s="1">
        <v>1501</v>
      </c>
      <c r="R48" s="6">
        <v>0.15389740173217856</v>
      </c>
      <c r="S48" s="6">
        <v>3.1312458361092602E-2</v>
      </c>
      <c r="T48" s="6">
        <v>3.5976015989340443E-2</v>
      </c>
    </row>
    <row r="49" spans="1:20" x14ac:dyDescent="0.25">
      <c r="A49" s="7" t="s">
        <v>55</v>
      </c>
      <c r="B49" s="8">
        <v>1542</v>
      </c>
      <c r="C49" s="8">
        <v>1</v>
      </c>
      <c r="D49" s="8">
        <v>9</v>
      </c>
      <c r="E49" s="1">
        <f t="shared" si="0"/>
        <v>1552</v>
      </c>
      <c r="F49" s="6">
        <f t="shared" si="1"/>
        <v>0.14884020618556701</v>
      </c>
      <c r="G49" s="6">
        <f t="shared" si="2"/>
        <v>3.0283505154639175E-2</v>
      </c>
      <c r="H49" s="6">
        <f t="shared" si="3"/>
        <v>3.4793814432989692E-2</v>
      </c>
      <c r="I49" s="1" t="str">
        <f t="shared" si="4"/>
        <v>Misto</v>
      </c>
      <c r="M49" s="7" t="str">
        <v>pdariano</v>
      </c>
      <c r="N49" s="8">
        <v>2180</v>
      </c>
      <c r="O49" s="8">
        <v>121</v>
      </c>
      <c r="P49" s="8">
        <v>59</v>
      </c>
      <c r="Q49" s="1">
        <v>2360</v>
      </c>
      <c r="R49" s="6">
        <v>9.7881355932203387E-2</v>
      </c>
      <c r="S49" s="6">
        <v>1.9915254237288134E-2</v>
      </c>
      <c r="T49" s="6">
        <v>2.288135593220339E-2</v>
      </c>
    </row>
    <row r="50" spans="1:20" x14ac:dyDescent="0.25">
      <c r="A50" s="7" t="s">
        <v>56</v>
      </c>
      <c r="B50" s="8">
        <v>924</v>
      </c>
      <c r="C50" s="8">
        <v>37</v>
      </c>
      <c r="D50" s="8">
        <v>17</v>
      </c>
      <c r="E50" s="1">
        <f t="shared" si="0"/>
        <v>978</v>
      </c>
      <c r="F50" s="6">
        <f t="shared" si="1"/>
        <v>0.2361963190184049</v>
      </c>
      <c r="G50" s="6">
        <f t="shared" si="2"/>
        <v>4.8057259713701429E-2</v>
      </c>
      <c r="H50" s="6">
        <f t="shared" si="3"/>
        <v>5.5214723926380369E-2</v>
      </c>
      <c r="I50" s="1" t="str">
        <f t="shared" si="4"/>
        <v>Misto</v>
      </c>
      <c r="M50" s="7" t="str">
        <v>ncastrucci</v>
      </c>
      <c r="N50" s="8">
        <v>3612</v>
      </c>
      <c r="O50" s="8">
        <v>136</v>
      </c>
      <c r="P50" s="8">
        <v>35</v>
      </c>
      <c r="Q50" s="1">
        <v>3783</v>
      </c>
      <c r="R50" s="6">
        <v>6.1062648691514669E-2</v>
      </c>
      <c r="S50" s="6">
        <v>1.2424002114723763E-2</v>
      </c>
      <c r="T50" s="6">
        <v>1.4274385408406027E-2</v>
      </c>
    </row>
    <row r="51" spans="1:20" x14ac:dyDescent="0.25">
      <c r="A51" s="7" t="s">
        <v>57</v>
      </c>
      <c r="B51" s="8">
        <v>868</v>
      </c>
      <c r="C51" s="8">
        <v>92</v>
      </c>
      <c r="D51" s="8">
        <v>42</v>
      </c>
      <c r="E51" s="1">
        <f t="shared" si="0"/>
        <v>1002</v>
      </c>
      <c r="F51" s="6">
        <f t="shared" si="1"/>
        <v>0.23053892215568864</v>
      </c>
      <c r="G51" s="6">
        <f t="shared" si="2"/>
        <v>4.6906187624750496E-2</v>
      </c>
      <c r="H51" s="6">
        <f t="shared" si="3"/>
        <v>5.3892215568862277E-2</v>
      </c>
      <c r="I51" s="1" t="str">
        <f t="shared" si="4"/>
        <v>Misto</v>
      </c>
      <c r="M51" s="7" t="str">
        <v>cblanda</v>
      </c>
      <c r="N51" s="8">
        <v>4443</v>
      </c>
      <c r="O51" s="8">
        <v>149</v>
      </c>
      <c r="P51" s="8">
        <v>99</v>
      </c>
      <c r="Q51" s="1">
        <v>4691</v>
      </c>
      <c r="R51" s="6">
        <v>4.92432317203155E-2</v>
      </c>
      <c r="S51" s="6">
        <v>1.0019185674696228E-2</v>
      </c>
      <c r="T51" s="6">
        <v>1.151140481773609E-2</v>
      </c>
    </row>
    <row r="52" spans="1:20" x14ac:dyDescent="0.25">
      <c r="A52" s="7" t="s">
        <v>58</v>
      </c>
      <c r="B52" s="8">
        <v>727</v>
      </c>
      <c r="C52" s="8">
        <v>72</v>
      </c>
      <c r="D52" s="8">
        <v>34</v>
      </c>
      <c r="E52" s="1">
        <f t="shared" si="0"/>
        <v>833</v>
      </c>
      <c r="F52" s="6">
        <f t="shared" si="1"/>
        <v>0.27731092436974791</v>
      </c>
      <c r="G52" s="6">
        <f t="shared" si="2"/>
        <v>5.6422569027611044E-2</v>
      </c>
      <c r="H52" s="6">
        <f t="shared" si="3"/>
        <v>6.4825930372148857E-2</v>
      </c>
      <c r="I52" s="1" t="str">
        <f t="shared" si="4"/>
        <v>Misto</v>
      </c>
      <c r="M52" s="7" t="str">
        <v>gdisparti</v>
      </c>
      <c r="N52" s="8">
        <v>2499</v>
      </c>
      <c r="O52" s="8">
        <v>173</v>
      </c>
      <c r="P52" s="8">
        <v>88</v>
      </c>
      <c r="Q52" s="1">
        <v>2760</v>
      </c>
      <c r="R52" s="6">
        <v>8.3695652173913046E-2</v>
      </c>
      <c r="S52" s="6">
        <v>1.7028985507246377E-2</v>
      </c>
      <c r="T52" s="6">
        <v>1.9565217391304349E-2</v>
      </c>
    </row>
    <row r="53" spans="1:20" x14ac:dyDescent="0.25">
      <c r="A53" s="7" t="s">
        <v>59</v>
      </c>
      <c r="B53" s="8">
        <v>982</v>
      </c>
      <c r="C53" s="8">
        <v>10</v>
      </c>
      <c r="D53" s="8">
        <v>13</v>
      </c>
      <c r="E53" s="1">
        <f t="shared" si="0"/>
        <v>1005</v>
      </c>
      <c r="F53" s="6">
        <f t="shared" si="1"/>
        <v>0.2298507462686567</v>
      </c>
      <c r="G53" s="6">
        <f t="shared" si="2"/>
        <v>4.6766169154228855E-2</v>
      </c>
      <c r="H53" s="6">
        <f t="shared" si="3"/>
        <v>5.3731343283582089E-2</v>
      </c>
      <c r="I53" s="1" t="str">
        <f t="shared" si="4"/>
        <v>Misto</v>
      </c>
      <c r="M53" s="7" t="str">
        <v>srossi</v>
      </c>
      <c r="N53" s="8">
        <v>1294</v>
      </c>
      <c r="O53" s="8">
        <v>201</v>
      </c>
      <c r="P53" s="8">
        <v>113</v>
      </c>
      <c r="Q53" s="1">
        <v>1608</v>
      </c>
      <c r="R53" s="6">
        <v>0.14365671641791045</v>
      </c>
      <c r="S53" s="6">
        <v>2.9228855721393034E-2</v>
      </c>
      <c r="T53" s="6">
        <v>3.3582089552238806E-2</v>
      </c>
    </row>
    <row r="54" spans="1:20" x14ac:dyDescent="0.25">
      <c r="A54" s="7" t="s">
        <v>60</v>
      </c>
      <c r="B54" s="8"/>
      <c r="C54" s="8"/>
      <c r="D54" s="8"/>
      <c r="E54" s="1">
        <f t="shared" si="0"/>
        <v>0</v>
      </c>
      <c r="F54" s="6" t="e">
        <f t="shared" si="1"/>
        <v>#DIV/0!</v>
      </c>
      <c r="G54" s="6" t="e">
        <f t="shared" si="2"/>
        <v>#DIV/0!</v>
      </c>
      <c r="H54" s="6" t="e">
        <f t="shared" si="3"/>
        <v>#DIV/0!</v>
      </c>
      <c r="I54" s="1" t="str">
        <f t="shared" si="4"/>
        <v>Nessuna attività</v>
      </c>
      <c r="M54" s="7" t="str">
        <v>Totale complessivo</v>
      </c>
      <c r="N54" s="8">
        <v>59004</v>
      </c>
      <c r="O54" s="8">
        <v>2935</v>
      </c>
      <c r="P54" s="8">
        <v>1594</v>
      </c>
      <c r="Q54" s="1">
        <v>63533</v>
      </c>
      <c r="R54" s="6">
        <v>3.6359057497678373E-3</v>
      </c>
      <c r="S54" s="6">
        <v>7.3977303133804478E-4</v>
      </c>
      <c r="T54" s="6">
        <v>8.4995199345222169E-4</v>
      </c>
    </row>
    <row r="55" spans="1:20" ht="28.55" x14ac:dyDescent="0.25">
      <c r="A55" s="7" t="s">
        <v>61</v>
      </c>
      <c r="B55" s="8">
        <v>59004</v>
      </c>
      <c r="C55" s="8">
        <v>2935</v>
      </c>
      <c r="D55" s="8">
        <v>1594</v>
      </c>
      <c r="E55" s="1">
        <f t="shared" si="0"/>
        <v>63533</v>
      </c>
      <c r="F55" s="6">
        <f t="shared" si="1"/>
        <v>3.6359057497678373E-3</v>
      </c>
      <c r="G55" s="6">
        <f t="shared" si="2"/>
        <v>7.3977303133804478E-4</v>
      </c>
      <c r="H55" s="6">
        <f t="shared" si="3"/>
        <v>8.4995199345222169E-4</v>
      </c>
      <c r="I55" s="1" t="str">
        <f t="shared" si="4"/>
        <v>Misto</v>
      </c>
      <c r="M55" s="7" t="str">
        <v>(vuoto)</v>
      </c>
      <c r="N55" s="8">
        <v>0</v>
      </c>
      <c r="O55" s="8">
        <v>0</v>
      </c>
      <c r="P55" s="8">
        <v>0</v>
      </c>
      <c r="Q55" s="1">
        <v>0</v>
      </c>
      <c r="R55" s="6" t="e">
        <v>#DIV/0!</v>
      </c>
      <c r="S55" s="6" t="e">
        <v>#DIV/0!</v>
      </c>
      <c r="T55" s="6" t="e">
        <v>#DIV/0!</v>
      </c>
    </row>
    <row r="56" spans="1:20" x14ac:dyDescent="0.25"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51"/>
  <sheetViews>
    <sheetView zoomScale="115" zoomScaleNormal="115" workbookViewId="0">
      <pane ySplit="1" topLeftCell="A2" activePane="bottomLeft" state="frozen"/>
      <selection pane="bottomLeft" sqref="A1:XFD1048576"/>
    </sheetView>
  </sheetViews>
  <sheetFormatPr defaultColWidth="17.25" defaultRowHeight="14.3" x14ac:dyDescent="0.25"/>
  <cols>
    <col min="1" max="1" width="9.875" style="1" customWidth="1"/>
    <col min="2" max="9" width="17.25" style="1"/>
    <col min="10" max="10" width="25" style="1" bestFit="1" customWidth="1"/>
    <col min="11" max="16384" width="17.25" style="1"/>
  </cols>
  <sheetData>
    <row r="1" spans="1:10" ht="28.5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>
        <v>39</v>
      </c>
      <c r="B2" s="3">
        <v>45977</v>
      </c>
      <c r="C2" s="1" t="s">
        <v>10</v>
      </c>
      <c r="D2" s="3">
        <v>45975</v>
      </c>
      <c r="E2" s="2">
        <v>0</v>
      </c>
      <c r="F2" s="2">
        <v>166</v>
      </c>
      <c r="G2" s="2">
        <v>32</v>
      </c>
      <c r="H2" s="2">
        <v>36</v>
      </c>
      <c r="I2" s="4">
        <v>1.4409719999999999</v>
      </c>
      <c r="J2" s="5">
        <v>45979.454722222225</v>
      </c>
    </row>
    <row r="3" spans="1:10" x14ac:dyDescent="0.25">
      <c r="A3" s="2">
        <v>89</v>
      </c>
      <c r="B3" s="3">
        <v>45983</v>
      </c>
      <c r="C3" s="1" t="s">
        <v>10</v>
      </c>
      <c r="D3" s="3">
        <v>45983</v>
      </c>
      <c r="E3" s="2">
        <v>0</v>
      </c>
      <c r="F3" s="2">
        <v>14</v>
      </c>
      <c r="G3" s="2">
        <v>1</v>
      </c>
      <c r="H3" s="2">
        <v>6</v>
      </c>
      <c r="I3" s="4">
        <v>0.122222</v>
      </c>
      <c r="J3" s="5">
        <v>45985.312523148146</v>
      </c>
    </row>
    <row r="4" spans="1:10" x14ac:dyDescent="0.25">
      <c r="A4" s="2">
        <v>139</v>
      </c>
      <c r="B4" s="3">
        <v>45990</v>
      </c>
      <c r="C4" s="1" t="s">
        <v>10</v>
      </c>
      <c r="D4" s="3">
        <v>45990</v>
      </c>
      <c r="E4" s="2">
        <v>0</v>
      </c>
      <c r="F4" s="2">
        <v>30</v>
      </c>
      <c r="G4" s="2">
        <v>7</v>
      </c>
      <c r="H4" s="2">
        <v>11</v>
      </c>
      <c r="I4" s="4">
        <v>0.33611099999999999</v>
      </c>
      <c r="J4" s="5">
        <v>45992.312534722223</v>
      </c>
    </row>
    <row r="5" spans="1:10" x14ac:dyDescent="0.25">
      <c r="A5" s="2">
        <v>189</v>
      </c>
      <c r="B5" s="3">
        <v>45997</v>
      </c>
      <c r="C5" s="1" t="s">
        <v>10</v>
      </c>
      <c r="D5" s="3">
        <v>45996</v>
      </c>
      <c r="E5" s="2">
        <v>0</v>
      </c>
      <c r="F5" s="2">
        <v>15</v>
      </c>
      <c r="G5" s="2">
        <v>4</v>
      </c>
      <c r="H5" s="2">
        <v>1</v>
      </c>
      <c r="I5" s="4">
        <v>0.219444</v>
      </c>
      <c r="J5" s="5">
        <v>45999.312523148146</v>
      </c>
    </row>
    <row r="6" spans="1:10" x14ac:dyDescent="0.25">
      <c r="A6" s="2">
        <v>239</v>
      </c>
      <c r="B6" s="3">
        <v>46003</v>
      </c>
      <c r="C6" s="1" t="s">
        <v>10</v>
      </c>
      <c r="D6" s="3">
        <v>46003</v>
      </c>
      <c r="E6" s="2">
        <v>0</v>
      </c>
      <c r="F6" s="2">
        <v>6</v>
      </c>
      <c r="G6" s="2">
        <v>3</v>
      </c>
      <c r="H6" s="2">
        <v>0</v>
      </c>
      <c r="I6" s="4">
        <v>0.111111</v>
      </c>
      <c r="J6" s="5">
        <v>46006.312523148146</v>
      </c>
    </row>
    <row r="7" spans="1:10" x14ac:dyDescent="0.25">
      <c r="A7" s="2">
        <v>9</v>
      </c>
      <c r="B7" s="3">
        <v>45977</v>
      </c>
      <c r="C7" s="1" t="s">
        <v>11</v>
      </c>
      <c r="D7" s="3">
        <v>45975</v>
      </c>
      <c r="E7" s="2">
        <v>0</v>
      </c>
      <c r="F7" s="2">
        <v>370</v>
      </c>
      <c r="G7" s="2">
        <v>20</v>
      </c>
      <c r="H7" s="2">
        <v>10</v>
      </c>
      <c r="I7" s="4">
        <v>0.36458299999999999</v>
      </c>
      <c r="J7" s="5">
        <v>45979.454722222225</v>
      </c>
    </row>
    <row r="8" spans="1:10" x14ac:dyDescent="0.25">
      <c r="A8" s="2">
        <v>59</v>
      </c>
      <c r="B8" s="3">
        <v>45983</v>
      </c>
      <c r="C8" s="1" t="s">
        <v>11</v>
      </c>
      <c r="D8" s="3">
        <v>45983</v>
      </c>
      <c r="E8" s="2">
        <v>0</v>
      </c>
      <c r="F8" s="2">
        <v>235</v>
      </c>
      <c r="G8" s="2">
        <v>11</v>
      </c>
      <c r="H8" s="2">
        <v>2</v>
      </c>
      <c r="I8" s="4">
        <v>0.248611</v>
      </c>
      <c r="J8" s="5">
        <v>45985.312523148146</v>
      </c>
    </row>
    <row r="9" spans="1:10" x14ac:dyDescent="0.25">
      <c r="A9" s="2">
        <v>109</v>
      </c>
      <c r="B9" s="3">
        <v>45990</v>
      </c>
      <c r="C9" s="1" t="s">
        <v>11</v>
      </c>
      <c r="D9" s="3">
        <v>45989</v>
      </c>
      <c r="E9" s="2">
        <v>0</v>
      </c>
      <c r="F9" s="2">
        <v>102</v>
      </c>
      <c r="G9" s="2">
        <v>5</v>
      </c>
      <c r="H9" s="2">
        <v>1</v>
      </c>
      <c r="I9" s="4">
        <v>6.7361000000000004E-2</v>
      </c>
      <c r="J9" s="5">
        <v>45992.312523148146</v>
      </c>
    </row>
    <row r="10" spans="1:10" x14ac:dyDescent="0.25">
      <c r="A10" s="2">
        <v>159</v>
      </c>
      <c r="B10" s="3">
        <v>45997</v>
      </c>
      <c r="C10" s="1" t="s">
        <v>11</v>
      </c>
      <c r="D10" s="3">
        <v>45996</v>
      </c>
      <c r="E10" s="2">
        <v>0</v>
      </c>
      <c r="F10" s="2">
        <v>41</v>
      </c>
      <c r="G10" s="2">
        <v>2</v>
      </c>
      <c r="H10" s="2">
        <v>2</v>
      </c>
      <c r="I10" s="4">
        <v>0.10347199999999999</v>
      </c>
      <c r="J10" s="5">
        <v>45999.312523148146</v>
      </c>
    </row>
    <row r="11" spans="1:10" x14ac:dyDescent="0.25">
      <c r="A11" s="2">
        <v>209</v>
      </c>
      <c r="B11" s="3">
        <v>46003</v>
      </c>
      <c r="C11" s="1" t="s">
        <v>11</v>
      </c>
      <c r="D11" s="3">
        <v>46003</v>
      </c>
      <c r="E11" s="2">
        <v>0</v>
      </c>
      <c r="F11" s="2">
        <v>22</v>
      </c>
      <c r="G11" s="2">
        <v>4</v>
      </c>
      <c r="H11" s="2">
        <v>2</v>
      </c>
      <c r="I11" s="4">
        <v>7.9167000000000001E-2</v>
      </c>
      <c r="J11" s="5">
        <v>46006.312523148146</v>
      </c>
    </row>
    <row r="12" spans="1:10" x14ac:dyDescent="0.25">
      <c r="A12" s="2">
        <v>30</v>
      </c>
      <c r="B12" s="3">
        <v>45977</v>
      </c>
      <c r="C12" s="1" t="s">
        <v>12</v>
      </c>
      <c r="D12" s="3">
        <v>45977</v>
      </c>
      <c r="E12" s="2">
        <v>0</v>
      </c>
      <c r="F12" s="2">
        <v>387</v>
      </c>
      <c r="G12" s="2">
        <v>10</v>
      </c>
      <c r="H12" s="2">
        <v>7</v>
      </c>
      <c r="I12" s="4">
        <v>0.32013900000000001</v>
      </c>
      <c r="J12" s="5">
        <v>45979.454722222225</v>
      </c>
    </row>
    <row r="13" spans="1:10" x14ac:dyDescent="0.25">
      <c r="A13" s="2">
        <v>80</v>
      </c>
      <c r="B13" s="3">
        <v>45983</v>
      </c>
      <c r="C13" s="1" t="s">
        <v>12</v>
      </c>
      <c r="D13" s="3">
        <v>45983</v>
      </c>
      <c r="E13" s="2">
        <v>0</v>
      </c>
      <c r="F13" s="2">
        <v>109</v>
      </c>
      <c r="G13" s="2">
        <v>4</v>
      </c>
      <c r="H13" s="2">
        <v>2</v>
      </c>
      <c r="I13" s="4">
        <v>9.7917000000000004E-2</v>
      </c>
      <c r="J13" s="5">
        <v>45985.312523148146</v>
      </c>
    </row>
    <row r="14" spans="1:10" x14ac:dyDescent="0.25">
      <c r="A14" s="2">
        <v>130</v>
      </c>
      <c r="B14" s="3">
        <v>45990</v>
      </c>
      <c r="C14" s="1" t="s">
        <v>12</v>
      </c>
      <c r="D14" s="3">
        <v>45990</v>
      </c>
      <c r="E14" s="2">
        <v>0</v>
      </c>
      <c r="F14" s="2">
        <v>76</v>
      </c>
      <c r="G14" s="2">
        <v>6</v>
      </c>
      <c r="H14" s="2">
        <v>3</v>
      </c>
      <c r="I14" s="4">
        <v>8.8193999999999995E-2</v>
      </c>
      <c r="J14" s="5">
        <v>45992.312523148146</v>
      </c>
    </row>
    <row r="15" spans="1:10" x14ac:dyDescent="0.25">
      <c r="A15" s="2">
        <v>180</v>
      </c>
      <c r="B15" s="3">
        <v>45997</v>
      </c>
      <c r="C15" s="1" t="s">
        <v>12</v>
      </c>
      <c r="D15" s="3">
        <v>45997</v>
      </c>
      <c r="E15" s="2">
        <v>0</v>
      </c>
      <c r="F15" s="2">
        <v>166</v>
      </c>
      <c r="G15" s="2">
        <v>6</v>
      </c>
      <c r="H15" s="2">
        <v>1</v>
      </c>
      <c r="I15" s="4">
        <v>7.2916999999999996E-2</v>
      </c>
      <c r="J15" s="5">
        <v>45999.312523148146</v>
      </c>
    </row>
    <row r="16" spans="1:10" x14ac:dyDescent="0.25">
      <c r="A16" s="2">
        <v>230</v>
      </c>
      <c r="B16" s="3">
        <v>46003</v>
      </c>
      <c r="C16" s="1" t="s">
        <v>12</v>
      </c>
      <c r="D16" s="3">
        <v>46003</v>
      </c>
      <c r="E16" s="2">
        <v>0</v>
      </c>
      <c r="F16" s="2">
        <v>36</v>
      </c>
      <c r="G16" s="2">
        <v>0</v>
      </c>
      <c r="H16" s="2">
        <v>1</v>
      </c>
      <c r="I16" s="4">
        <v>2.0139000000000001E-2</v>
      </c>
      <c r="J16" s="5">
        <v>46006.312523148146</v>
      </c>
    </row>
    <row r="17" spans="1:10" x14ac:dyDescent="0.25">
      <c r="A17" s="2">
        <v>15</v>
      </c>
      <c r="B17" s="3">
        <v>45977</v>
      </c>
      <c r="C17" s="1" t="s">
        <v>13</v>
      </c>
      <c r="D17" s="3">
        <v>45975</v>
      </c>
      <c r="E17" s="2">
        <v>0</v>
      </c>
      <c r="F17" s="2">
        <v>553</v>
      </c>
      <c r="G17" s="2">
        <v>27</v>
      </c>
      <c r="H17" s="2">
        <v>41</v>
      </c>
      <c r="I17" s="4">
        <v>1.3666670000000001</v>
      </c>
      <c r="J17" s="5">
        <v>45979.454722222225</v>
      </c>
    </row>
    <row r="18" spans="1:10" x14ac:dyDescent="0.25">
      <c r="A18" s="2">
        <v>65</v>
      </c>
      <c r="B18" s="3">
        <v>45983</v>
      </c>
      <c r="C18" s="1" t="s">
        <v>13</v>
      </c>
      <c r="D18" s="3">
        <v>45982</v>
      </c>
      <c r="E18" s="2">
        <v>0</v>
      </c>
      <c r="F18" s="2">
        <v>26</v>
      </c>
      <c r="G18" s="2">
        <v>0</v>
      </c>
      <c r="H18" s="2">
        <v>5</v>
      </c>
      <c r="I18" s="4">
        <v>0.104861</v>
      </c>
      <c r="J18" s="5">
        <v>45985.312523148146</v>
      </c>
    </row>
    <row r="19" spans="1:10" x14ac:dyDescent="0.25">
      <c r="A19" s="2">
        <v>115</v>
      </c>
      <c r="B19" s="3">
        <v>45990</v>
      </c>
      <c r="C19" s="1" t="s">
        <v>13</v>
      </c>
      <c r="D19" s="3">
        <v>45989</v>
      </c>
      <c r="E19" s="2">
        <v>0</v>
      </c>
      <c r="F19" s="2">
        <v>79</v>
      </c>
      <c r="G19" s="2">
        <v>6</v>
      </c>
      <c r="H19" s="2">
        <v>10</v>
      </c>
      <c r="I19" s="4">
        <v>0.214583</v>
      </c>
      <c r="J19" s="5">
        <v>45992.312523148146</v>
      </c>
    </row>
    <row r="20" spans="1:10" x14ac:dyDescent="0.25">
      <c r="A20" s="2">
        <v>165</v>
      </c>
      <c r="B20" s="3">
        <v>45997</v>
      </c>
      <c r="C20" s="1" t="s">
        <v>13</v>
      </c>
      <c r="D20" s="3">
        <v>45996</v>
      </c>
      <c r="E20" s="2">
        <v>0</v>
      </c>
      <c r="F20" s="2">
        <v>38</v>
      </c>
      <c r="G20" s="2">
        <v>2</v>
      </c>
      <c r="H20" s="2">
        <v>5</v>
      </c>
      <c r="I20" s="4">
        <v>8.2639000000000004E-2</v>
      </c>
      <c r="J20" s="5">
        <v>45999.312523148146</v>
      </c>
    </row>
    <row r="21" spans="1:10" x14ac:dyDescent="0.25">
      <c r="A21" s="2">
        <v>215</v>
      </c>
      <c r="B21" s="3">
        <v>46003</v>
      </c>
      <c r="C21" s="1" t="s">
        <v>13</v>
      </c>
      <c r="D21" s="3">
        <v>46003</v>
      </c>
      <c r="E21" s="2">
        <v>0</v>
      </c>
      <c r="F21" s="2">
        <v>21</v>
      </c>
      <c r="G21" s="2">
        <v>1</v>
      </c>
      <c r="H21" s="2">
        <v>1</v>
      </c>
      <c r="I21" s="4">
        <v>1.5972E-2</v>
      </c>
      <c r="J21" s="5">
        <v>46006.312523148146</v>
      </c>
    </row>
    <row r="22" spans="1:10" x14ac:dyDescent="0.25">
      <c r="A22" s="2">
        <v>42</v>
      </c>
      <c r="B22" s="3">
        <v>45977</v>
      </c>
      <c r="C22" s="1" t="s">
        <v>14</v>
      </c>
      <c r="D22" s="3">
        <v>45977</v>
      </c>
      <c r="E22" s="2">
        <v>0</v>
      </c>
      <c r="F22" s="2">
        <v>831</v>
      </c>
      <c r="G22" s="2">
        <v>8</v>
      </c>
      <c r="H22" s="2">
        <v>10</v>
      </c>
      <c r="I22" s="4">
        <v>0.34375</v>
      </c>
      <c r="J22" s="5">
        <v>45979.454722222225</v>
      </c>
    </row>
    <row r="23" spans="1:10" x14ac:dyDescent="0.25">
      <c r="A23" s="2">
        <v>92</v>
      </c>
      <c r="B23" s="3">
        <v>45983</v>
      </c>
      <c r="C23" s="1" t="s">
        <v>14</v>
      </c>
      <c r="D23" s="3">
        <v>45982</v>
      </c>
      <c r="E23" s="2">
        <v>0</v>
      </c>
      <c r="F23" s="2">
        <v>108</v>
      </c>
      <c r="G23" s="2">
        <v>0</v>
      </c>
      <c r="H23" s="2">
        <v>1</v>
      </c>
      <c r="I23" s="4">
        <v>4.3749999999999997E-2</v>
      </c>
      <c r="J23" s="5">
        <v>45985.312523148146</v>
      </c>
    </row>
    <row r="24" spans="1:10" x14ac:dyDescent="0.25">
      <c r="A24" s="2">
        <v>142</v>
      </c>
      <c r="B24" s="3">
        <v>45990</v>
      </c>
      <c r="C24" s="1" t="s">
        <v>14</v>
      </c>
      <c r="D24" s="3">
        <v>45990</v>
      </c>
      <c r="E24" s="2">
        <v>0</v>
      </c>
      <c r="F24" s="2">
        <v>106</v>
      </c>
      <c r="G24" s="2">
        <v>0</v>
      </c>
      <c r="H24" s="2">
        <v>0</v>
      </c>
      <c r="I24" s="2">
        <v>0</v>
      </c>
      <c r="J24" s="5">
        <v>45992.312534722223</v>
      </c>
    </row>
    <row r="25" spans="1:10" x14ac:dyDescent="0.25">
      <c r="A25" s="2">
        <v>192</v>
      </c>
      <c r="B25" s="3">
        <v>45997</v>
      </c>
      <c r="C25" s="1" t="s">
        <v>14</v>
      </c>
      <c r="D25" s="3">
        <v>45996</v>
      </c>
      <c r="E25" s="2">
        <v>0</v>
      </c>
      <c r="F25" s="2">
        <v>77</v>
      </c>
      <c r="G25" s="2">
        <v>0</v>
      </c>
      <c r="H25" s="2">
        <v>0</v>
      </c>
      <c r="I25" s="2">
        <v>0</v>
      </c>
      <c r="J25" s="5">
        <v>45999.312523148146</v>
      </c>
    </row>
    <row r="26" spans="1:10" x14ac:dyDescent="0.25">
      <c r="A26" s="2">
        <v>242</v>
      </c>
      <c r="B26" s="3">
        <v>46003</v>
      </c>
      <c r="C26" s="1" t="s">
        <v>14</v>
      </c>
      <c r="D26" s="3">
        <v>46003</v>
      </c>
      <c r="E26" s="2">
        <v>0</v>
      </c>
      <c r="F26" s="2">
        <v>6</v>
      </c>
      <c r="G26" s="2">
        <v>0</v>
      </c>
      <c r="H26" s="2">
        <v>0</v>
      </c>
      <c r="I26" s="2">
        <v>0</v>
      </c>
      <c r="J26" s="5">
        <v>46006.312523148146</v>
      </c>
    </row>
    <row r="27" spans="1:10" x14ac:dyDescent="0.25">
      <c r="A27" s="2">
        <v>29</v>
      </c>
      <c r="B27" s="3">
        <v>45977</v>
      </c>
      <c r="C27" s="1" t="s">
        <v>15</v>
      </c>
      <c r="D27" s="3">
        <v>45976</v>
      </c>
      <c r="E27" s="2">
        <v>0</v>
      </c>
      <c r="F27" s="2">
        <v>152</v>
      </c>
      <c r="G27" s="2">
        <v>25</v>
      </c>
      <c r="H27" s="2">
        <v>15</v>
      </c>
      <c r="I27" s="4">
        <v>0.77013900000000002</v>
      </c>
      <c r="J27" s="5">
        <v>45979.454722222225</v>
      </c>
    </row>
    <row r="28" spans="1:10" x14ac:dyDescent="0.25">
      <c r="A28" s="2">
        <v>79</v>
      </c>
      <c r="B28" s="3">
        <v>45983</v>
      </c>
      <c r="C28" s="1" t="s">
        <v>15</v>
      </c>
      <c r="D28" s="3">
        <v>45983</v>
      </c>
      <c r="E28" s="2">
        <v>0</v>
      </c>
      <c r="F28" s="2">
        <v>45</v>
      </c>
      <c r="G28" s="2">
        <v>5</v>
      </c>
      <c r="H28" s="2">
        <v>6</v>
      </c>
      <c r="I28" s="4">
        <v>0.31597199999999998</v>
      </c>
      <c r="J28" s="5">
        <v>45985.312523148146</v>
      </c>
    </row>
    <row r="29" spans="1:10" x14ac:dyDescent="0.25">
      <c r="A29" s="2">
        <v>129</v>
      </c>
      <c r="B29" s="3">
        <v>45990</v>
      </c>
      <c r="C29" s="1" t="s">
        <v>15</v>
      </c>
      <c r="D29" s="3">
        <v>45989</v>
      </c>
      <c r="E29" s="2">
        <v>0</v>
      </c>
      <c r="F29" s="2">
        <v>24</v>
      </c>
      <c r="G29" s="2">
        <v>6</v>
      </c>
      <c r="H29" s="2">
        <v>2</v>
      </c>
      <c r="I29" s="4">
        <v>0.20208300000000001</v>
      </c>
      <c r="J29" s="5">
        <v>45992.312523148146</v>
      </c>
    </row>
    <row r="30" spans="1:10" x14ac:dyDescent="0.25">
      <c r="A30" s="2">
        <v>179</v>
      </c>
      <c r="B30" s="3">
        <v>45997</v>
      </c>
      <c r="C30" s="1" t="s">
        <v>15</v>
      </c>
      <c r="D30" s="3">
        <v>45996</v>
      </c>
      <c r="E30" s="2">
        <v>0</v>
      </c>
      <c r="F30" s="2">
        <v>18</v>
      </c>
      <c r="G30" s="2">
        <v>4</v>
      </c>
      <c r="H30" s="2">
        <v>3</v>
      </c>
      <c r="I30" s="4">
        <v>0.152083</v>
      </c>
      <c r="J30" s="5">
        <v>45999.312523148146</v>
      </c>
    </row>
    <row r="31" spans="1:10" x14ac:dyDescent="0.25">
      <c r="A31" s="2">
        <v>229</v>
      </c>
      <c r="B31" s="3">
        <v>46003</v>
      </c>
      <c r="C31" s="1" t="s">
        <v>15</v>
      </c>
      <c r="D31" s="3">
        <v>46003</v>
      </c>
      <c r="E31" s="2">
        <v>0</v>
      </c>
      <c r="F31" s="2">
        <v>8</v>
      </c>
      <c r="G31" s="2">
        <v>2</v>
      </c>
      <c r="H31" s="2">
        <v>3</v>
      </c>
      <c r="I31" s="4">
        <v>4.0278000000000001E-2</v>
      </c>
      <c r="J31" s="5">
        <v>46006.312523148146</v>
      </c>
    </row>
    <row r="32" spans="1:10" x14ac:dyDescent="0.25">
      <c r="A32" s="2">
        <v>5</v>
      </c>
      <c r="B32" s="3">
        <v>45977</v>
      </c>
      <c r="C32" s="1" t="s">
        <v>16</v>
      </c>
      <c r="D32" s="3">
        <v>45977</v>
      </c>
      <c r="E32" s="2">
        <v>0</v>
      </c>
      <c r="F32" s="2">
        <v>388</v>
      </c>
      <c r="G32" s="2">
        <v>32</v>
      </c>
      <c r="H32" s="2">
        <v>41</v>
      </c>
      <c r="I32" s="4">
        <v>1.754861</v>
      </c>
      <c r="J32" s="5">
        <v>45979.454722222225</v>
      </c>
    </row>
    <row r="33" spans="1:10" x14ac:dyDescent="0.25">
      <c r="A33" s="2">
        <v>55</v>
      </c>
      <c r="B33" s="3">
        <v>45983</v>
      </c>
      <c r="C33" s="1" t="s">
        <v>16</v>
      </c>
      <c r="D33" s="3">
        <v>45983</v>
      </c>
      <c r="E33" s="2">
        <v>0</v>
      </c>
      <c r="F33" s="2">
        <v>103</v>
      </c>
      <c r="G33" s="2">
        <v>15</v>
      </c>
      <c r="H33" s="2">
        <v>18</v>
      </c>
      <c r="I33" s="4">
        <v>0.51597199999999999</v>
      </c>
      <c r="J33" s="5">
        <v>45985.312523148146</v>
      </c>
    </row>
    <row r="34" spans="1:10" x14ac:dyDescent="0.25">
      <c r="A34" s="2">
        <v>105</v>
      </c>
      <c r="B34" s="3">
        <v>45990</v>
      </c>
      <c r="C34" s="1" t="s">
        <v>16</v>
      </c>
      <c r="D34" s="3">
        <v>45990</v>
      </c>
      <c r="E34" s="2">
        <v>0</v>
      </c>
      <c r="F34" s="2">
        <v>88</v>
      </c>
      <c r="G34" s="2">
        <v>21</v>
      </c>
      <c r="H34" s="2">
        <v>10</v>
      </c>
      <c r="I34" s="4">
        <v>0.42569400000000002</v>
      </c>
      <c r="J34" s="5">
        <v>45992.312523148146</v>
      </c>
    </row>
    <row r="35" spans="1:10" x14ac:dyDescent="0.25">
      <c r="A35" s="2">
        <v>155</v>
      </c>
      <c r="B35" s="3">
        <v>45997</v>
      </c>
      <c r="C35" s="1" t="s">
        <v>16</v>
      </c>
      <c r="D35" s="3">
        <v>45997</v>
      </c>
      <c r="E35" s="2">
        <v>0</v>
      </c>
      <c r="F35" s="2">
        <v>116</v>
      </c>
      <c r="G35" s="2">
        <v>23</v>
      </c>
      <c r="H35" s="2">
        <v>13</v>
      </c>
      <c r="I35" s="4">
        <v>0.63124999999999998</v>
      </c>
      <c r="J35" s="5">
        <v>45999.312523148146</v>
      </c>
    </row>
    <row r="36" spans="1:10" x14ac:dyDescent="0.25">
      <c r="A36" s="2">
        <v>205</v>
      </c>
      <c r="B36" s="3">
        <v>46003</v>
      </c>
      <c r="C36" s="1" t="s">
        <v>16</v>
      </c>
      <c r="D36" s="3">
        <v>46003</v>
      </c>
      <c r="E36" s="2">
        <v>0</v>
      </c>
      <c r="F36" s="2">
        <v>75</v>
      </c>
      <c r="G36" s="2">
        <v>12</v>
      </c>
      <c r="H36" s="2">
        <v>7</v>
      </c>
      <c r="I36" s="4">
        <v>0.28819400000000001</v>
      </c>
      <c r="J36" s="5">
        <v>46006.312523148146</v>
      </c>
    </row>
    <row r="37" spans="1:10" x14ac:dyDescent="0.25">
      <c r="A37" s="2">
        <v>50</v>
      </c>
      <c r="B37" s="3">
        <v>45977</v>
      </c>
      <c r="C37" s="1" t="s">
        <v>17</v>
      </c>
      <c r="D37" s="3">
        <v>45976</v>
      </c>
      <c r="E37" s="2">
        <v>0</v>
      </c>
      <c r="F37" s="2">
        <v>2311</v>
      </c>
      <c r="G37" s="2">
        <v>53</v>
      </c>
      <c r="H37" s="2">
        <v>53</v>
      </c>
      <c r="I37" s="4">
        <v>1.7472220000000001</v>
      </c>
      <c r="J37" s="5">
        <v>45979.454722222225</v>
      </c>
    </row>
    <row r="38" spans="1:10" x14ac:dyDescent="0.25">
      <c r="A38" s="2">
        <v>100</v>
      </c>
      <c r="B38" s="3">
        <v>45983</v>
      </c>
      <c r="C38" s="1" t="s">
        <v>17</v>
      </c>
      <c r="D38" s="3">
        <v>45982</v>
      </c>
      <c r="E38" s="2">
        <v>0</v>
      </c>
      <c r="F38" s="2">
        <v>495</v>
      </c>
      <c r="G38" s="2">
        <v>23</v>
      </c>
      <c r="H38" s="2">
        <v>16</v>
      </c>
      <c r="I38" s="4">
        <v>0.76527800000000001</v>
      </c>
      <c r="J38" s="5">
        <v>45985.312523148146</v>
      </c>
    </row>
    <row r="39" spans="1:10" x14ac:dyDescent="0.25">
      <c r="A39" s="2">
        <v>150</v>
      </c>
      <c r="B39" s="3">
        <v>45990</v>
      </c>
      <c r="C39" s="1" t="s">
        <v>17</v>
      </c>
      <c r="D39" s="3">
        <v>45989</v>
      </c>
      <c r="E39" s="2">
        <v>0</v>
      </c>
      <c r="F39" s="2">
        <v>544</v>
      </c>
      <c r="G39" s="2">
        <v>26</v>
      </c>
      <c r="H39" s="2">
        <v>6</v>
      </c>
      <c r="I39" s="4">
        <v>0.34375</v>
      </c>
      <c r="J39" s="5">
        <v>45992.312534722223</v>
      </c>
    </row>
    <row r="40" spans="1:10" x14ac:dyDescent="0.25">
      <c r="A40" s="2">
        <v>200</v>
      </c>
      <c r="B40" s="3">
        <v>45997</v>
      </c>
      <c r="C40" s="1" t="s">
        <v>17</v>
      </c>
      <c r="D40" s="3">
        <v>45996</v>
      </c>
      <c r="E40" s="2">
        <v>0</v>
      </c>
      <c r="F40" s="2">
        <v>538</v>
      </c>
      <c r="G40" s="2">
        <v>26</v>
      </c>
      <c r="H40" s="2">
        <v>12</v>
      </c>
      <c r="I40" s="4">
        <v>0.39097199999999999</v>
      </c>
      <c r="J40" s="5">
        <v>45999.312523148146</v>
      </c>
    </row>
    <row r="41" spans="1:10" x14ac:dyDescent="0.25">
      <c r="A41" s="2">
        <v>250</v>
      </c>
      <c r="B41" s="3">
        <v>46003</v>
      </c>
      <c r="C41" s="1" t="s">
        <v>17</v>
      </c>
      <c r="D41" s="3">
        <v>46003</v>
      </c>
      <c r="E41" s="2">
        <v>0</v>
      </c>
      <c r="F41" s="2">
        <v>555</v>
      </c>
      <c r="G41" s="2">
        <v>21</v>
      </c>
      <c r="H41" s="2">
        <v>12</v>
      </c>
      <c r="I41" s="4">
        <v>0.45277800000000001</v>
      </c>
      <c r="J41" s="5">
        <v>46006.312523148146</v>
      </c>
    </row>
    <row r="42" spans="1:10" x14ac:dyDescent="0.25">
      <c r="A42" s="2">
        <v>34</v>
      </c>
      <c r="B42" s="3">
        <v>45977</v>
      </c>
      <c r="C42" s="1" t="s">
        <v>18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5">
        <v>45979.454722222225</v>
      </c>
    </row>
    <row r="43" spans="1:10" x14ac:dyDescent="0.25">
      <c r="A43" s="2">
        <v>84</v>
      </c>
      <c r="B43" s="3">
        <v>45983</v>
      </c>
      <c r="C43" s="1" t="s">
        <v>18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5">
        <v>45985.312523148146</v>
      </c>
    </row>
    <row r="44" spans="1:10" x14ac:dyDescent="0.25">
      <c r="A44" s="2">
        <v>134</v>
      </c>
      <c r="B44" s="3">
        <v>45990</v>
      </c>
      <c r="C44" s="1" t="s">
        <v>18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5">
        <v>45992.312534722223</v>
      </c>
    </row>
    <row r="45" spans="1:10" x14ac:dyDescent="0.25">
      <c r="A45" s="2">
        <v>184</v>
      </c>
      <c r="B45" s="3">
        <v>45997</v>
      </c>
      <c r="C45" s="1" t="s">
        <v>18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5">
        <v>45999.312523148146</v>
      </c>
    </row>
    <row r="46" spans="1:10" x14ac:dyDescent="0.25">
      <c r="A46" s="2">
        <v>234</v>
      </c>
      <c r="B46" s="3">
        <v>46003</v>
      </c>
      <c r="C46" s="1" t="s">
        <v>18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5">
        <v>46006.312523148146</v>
      </c>
    </row>
    <row r="47" spans="1:10" x14ac:dyDescent="0.25">
      <c r="A47" s="2">
        <v>4</v>
      </c>
      <c r="B47" s="3">
        <v>45977</v>
      </c>
      <c r="C47" s="1" t="s">
        <v>19</v>
      </c>
      <c r="D47" s="3">
        <v>45976</v>
      </c>
      <c r="E47" s="2">
        <v>0</v>
      </c>
      <c r="F47" s="2">
        <v>357</v>
      </c>
      <c r="G47" s="2">
        <v>6</v>
      </c>
      <c r="H47" s="2">
        <v>8</v>
      </c>
      <c r="I47" s="4">
        <v>0.28749999999999998</v>
      </c>
      <c r="J47" s="5">
        <v>45979.454722222225</v>
      </c>
    </row>
    <row r="48" spans="1:10" x14ac:dyDescent="0.25">
      <c r="A48" s="2">
        <v>54</v>
      </c>
      <c r="B48" s="3">
        <v>45983</v>
      </c>
      <c r="C48" s="1" t="s">
        <v>19</v>
      </c>
      <c r="D48" s="3">
        <v>45982</v>
      </c>
      <c r="E48" s="2">
        <v>0</v>
      </c>
      <c r="F48" s="2">
        <v>79</v>
      </c>
      <c r="G48" s="2">
        <v>2</v>
      </c>
      <c r="H48" s="2">
        <v>3</v>
      </c>
      <c r="I48" s="4">
        <v>8.5417000000000007E-2</v>
      </c>
      <c r="J48" s="5">
        <v>45985.312523148146</v>
      </c>
    </row>
    <row r="49" spans="1:10" x14ac:dyDescent="0.25">
      <c r="A49" s="2">
        <v>104</v>
      </c>
      <c r="B49" s="3">
        <v>45990</v>
      </c>
      <c r="C49" s="1" t="s">
        <v>19</v>
      </c>
      <c r="D49" s="3">
        <v>45989</v>
      </c>
      <c r="E49" s="2">
        <v>0</v>
      </c>
      <c r="F49" s="2">
        <v>47</v>
      </c>
      <c r="G49" s="2">
        <v>4</v>
      </c>
      <c r="H49" s="2">
        <v>1</v>
      </c>
      <c r="I49" s="4">
        <v>5.9027999999999997E-2</v>
      </c>
      <c r="J49" s="5">
        <v>45992.312523148146</v>
      </c>
    </row>
    <row r="50" spans="1:10" x14ac:dyDescent="0.25">
      <c r="A50" s="2">
        <v>154</v>
      </c>
      <c r="B50" s="3">
        <v>45997</v>
      </c>
      <c r="C50" s="1" t="s">
        <v>19</v>
      </c>
      <c r="D50" s="3">
        <v>45996</v>
      </c>
      <c r="E50" s="2">
        <v>0</v>
      </c>
      <c r="F50" s="2">
        <v>88</v>
      </c>
      <c r="G50" s="2">
        <v>1</v>
      </c>
      <c r="H50" s="2">
        <v>1</v>
      </c>
      <c r="I50" s="4">
        <v>4.3749999999999997E-2</v>
      </c>
      <c r="J50" s="5">
        <v>45999.312523148146</v>
      </c>
    </row>
    <row r="51" spans="1:10" x14ac:dyDescent="0.25">
      <c r="A51" s="2">
        <v>204</v>
      </c>
      <c r="B51" s="3">
        <v>46003</v>
      </c>
      <c r="C51" s="1" t="s">
        <v>19</v>
      </c>
      <c r="D51" s="3">
        <v>46002</v>
      </c>
      <c r="E51" s="2">
        <v>0</v>
      </c>
      <c r="F51" s="2">
        <v>37</v>
      </c>
      <c r="G51" s="2">
        <v>0</v>
      </c>
      <c r="H51" s="2">
        <v>1</v>
      </c>
      <c r="I51" s="4">
        <v>1.6667000000000001E-2</v>
      </c>
      <c r="J51" s="5">
        <v>46006.312523148146</v>
      </c>
    </row>
    <row r="52" spans="1:10" x14ac:dyDescent="0.25">
      <c r="A52" s="2">
        <v>41</v>
      </c>
      <c r="B52" s="3">
        <v>45977</v>
      </c>
      <c r="C52" s="1" t="s">
        <v>20</v>
      </c>
      <c r="D52" s="3">
        <v>45975</v>
      </c>
      <c r="E52" s="2">
        <v>0</v>
      </c>
      <c r="F52" s="2">
        <v>448</v>
      </c>
      <c r="G52" s="2">
        <v>32</v>
      </c>
      <c r="H52" s="2">
        <v>58</v>
      </c>
      <c r="I52" s="4">
        <v>1.516667</v>
      </c>
      <c r="J52" s="5">
        <v>45979.454722222225</v>
      </c>
    </row>
    <row r="53" spans="1:10" x14ac:dyDescent="0.25">
      <c r="A53" s="2">
        <v>91</v>
      </c>
      <c r="B53" s="3">
        <v>45983</v>
      </c>
      <c r="C53" s="1" t="s">
        <v>20</v>
      </c>
      <c r="D53" s="3">
        <v>45981</v>
      </c>
      <c r="E53" s="2">
        <v>1</v>
      </c>
      <c r="F53" s="2">
        <v>76</v>
      </c>
      <c r="G53" s="2">
        <v>6</v>
      </c>
      <c r="H53" s="2">
        <v>6</v>
      </c>
      <c r="I53" s="4">
        <v>0.17916699999999999</v>
      </c>
      <c r="J53" s="5">
        <v>45985.312523148146</v>
      </c>
    </row>
    <row r="54" spans="1:10" x14ac:dyDescent="0.25">
      <c r="A54" s="2">
        <v>141</v>
      </c>
      <c r="B54" s="3">
        <v>45990</v>
      </c>
      <c r="C54" s="1" t="s">
        <v>20</v>
      </c>
      <c r="D54" s="3">
        <v>45989</v>
      </c>
      <c r="E54" s="2">
        <v>0</v>
      </c>
      <c r="F54" s="2">
        <v>66</v>
      </c>
      <c r="G54" s="2">
        <v>7</v>
      </c>
      <c r="H54" s="2">
        <v>10</v>
      </c>
      <c r="I54" s="4">
        <v>0.26527800000000001</v>
      </c>
      <c r="J54" s="5">
        <v>45992.312534722223</v>
      </c>
    </row>
    <row r="55" spans="1:10" x14ac:dyDescent="0.25">
      <c r="A55" s="2">
        <v>191</v>
      </c>
      <c r="B55" s="3">
        <v>45997</v>
      </c>
      <c r="C55" s="1" t="s">
        <v>20</v>
      </c>
      <c r="D55" s="3">
        <v>45996</v>
      </c>
      <c r="E55" s="2">
        <v>0</v>
      </c>
      <c r="F55" s="2">
        <v>38</v>
      </c>
      <c r="G55" s="2">
        <v>3</v>
      </c>
      <c r="H55" s="2">
        <v>11</v>
      </c>
      <c r="I55" s="4">
        <v>0.27569399999999999</v>
      </c>
      <c r="J55" s="5">
        <v>45999.312523148146</v>
      </c>
    </row>
    <row r="56" spans="1:10" x14ac:dyDescent="0.25">
      <c r="A56" s="2">
        <v>241</v>
      </c>
      <c r="B56" s="3">
        <v>46003</v>
      </c>
      <c r="C56" s="1" t="s">
        <v>20</v>
      </c>
      <c r="D56" s="3">
        <v>46003</v>
      </c>
      <c r="E56" s="2">
        <v>0</v>
      </c>
      <c r="F56" s="2">
        <v>23</v>
      </c>
      <c r="G56" s="2">
        <v>2</v>
      </c>
      <c r="H56" s="2">
        <v>2</v>
      </c>
      <c r="I56" s="4">
        <v>0.286111</v>
      </c>
      <c r="J56" s="5">
        <v>46006.312523148146</v>
      </c>
    </row>
    <row r="57" spans="1:10" x14ac:dyDescent="0.25">
      <c r="A57" s="2">
        <v>6</v>
      </c>
      <c r="B57" s="3">
        <v>45977</v>
      </c>
      <c r="C57" s="1" t="s">
        <v>21</v>
      </c>
      <c r="D57" s="3">
        <v>45977</v>
      </c>
      <c r="E57" s="2">
        <v>0</v>
      </c>
      <c r="F57" s="2">
        <v>1781</v>
      </c>
      <c r="G57" s="2">
        <v>25</v>
      </c>
      <c r="H57" s="2">
        <v>9</v>
      </c>
      <c r="I57" s="4">
        <v>0.44097199999999998</v>
      </c>
      <c r="J57" s="5">
        <v>45979.454722222225</v>
      </c>
    </row>
    <row r="58" spans="1:10" x14ac:dyDescent="0.25">
      <c r="A58" s="2">
        <v>56</v>
      </c>
      <c r="B58" s="3">
        <v>45983</v>
      </c>
      <c r="C58" s="1" t="s">
        <v>21</v>
      </c>
      <c r="D58" s="3">
        <v>45983</v>
      </c>
      <c r="E58" s="2">
        <v>0</v>
      </c>
      <c r="F58" s="2">
        <v>43</v>
      </c>
      <c r="G58" s="2">
        <v>0</v>
      </c>
      <c r="H58" s="2">
        <v>0</v>
      </c>
      <c r="I58" s="2">
        <v>0</v>
      </c>
      <c r="J58" s="5">
        <v>45985.312523148146</v>
      </c>
    </row>
    <row r="59" spans="1:10" x14ac:dyDescent="0.25">
      <c r="A59" s="2">
        <v>106</v>
      </c>
      <c r="B59" s="3">
        <v>45990</v>
      </c>
      <c r="C59" s="1" t="s">
        <v>21</v>
      </c>
      <c r="D59" s="3">
        <v>45989</v>
      </c>
      <c r="E59" s="2">
        <v>0</v>
      </c>
      <c r="F59" s="2">
        <v>142</v>
      </c>
      <c r="G59" s="2">
        <v>6</v>
      </c>
      <c r="H59" s="2">
        <v>1</v>
      </c>
      <c r="I59" s="4">
        <v>5.4167E-2</v>
      </c>
      <c r="J59" s="5">
        <v>45992.312523148146</v>
      </c>
    </row>
    <row r="60" spans="1:10" x14ac:dyDescent="0.25">
      <c r="A60" s="2">
        <v>156</v>
      </c>
      <c r="B60" s="3">
        <v>45997</v>
      </c>
      <c r="C60" s="1" t="s">
        <v>21</v>
      </c>
      <c r="D60" s="3">
        <v>45996</v>
      </c>
      <c r="E60" s="2">
        <v>0</v>
      </c>
      <c r="F60" s="2">
        <v>108</v>
      </c>
      <c r="G60" s="2">
        <v>6</v>
      </c>
      <c r="H60" s="2">
        <v>1</v>
      </c>
      <c r="I60" s="4">
        <v>4.2361000000000003E-2</v>
      </c>
      <c r="J60" s="5">
        <v>45999.312523148146</v>
      </c>
    </row>
    <row r="61" spans="1:10" x14ac:dyDescent="0.25">
      <c r="A61" s="2">
        <v>206</v>
      </c>
      <c r="B61" s="3">
        <v>46003</v>
      </c>
      <c r="C61" s="1" t="s">
        <v>21</v>
      </c>
      <c r="D61" s="3">
        <v>46003</v>
      </c>
      <c r="E61" s="2">
        <v>0</v>
      </c>
      <c r="F61" s="2">
        <v>74</v>
      </c>
      <c r="G61" s="2">
        <v>7</v>
      </c>
      <c r="H61" s="2">
        <v>2</v>
      </c>
      <c r="I61" s="4">
        <v>0.1</v>
      </c>
      <c r="J61" s="5">
        <v>46006.312523148146</v>
      </c>
    </row>
    <row r="62" spans="1:10" x14ac:dyDescent="0.25">
      <c r="A62" s="2">
        <v>27</v>
      </c>
      <c r="B62" s="3">
        <v>45977</v>
      </c>
      <c r="C62" s="1" t="s">
        <v>22</v>
      </c>
      <c r="D62" s="3">
        <v>45975</v>
      </c>
      <c r="E62" s="2">
        <v>0</v>
      </c>
      <c r="F62" s="2">
        <v>365</v>
      </c>
      <c r="G62" s="2">
        <v>32</v>
      </c>
      <c r="H62" s="2">
        <v>19</v>
      </c>
      <c r="I62" s="2">
        <v>1.0013890000000001</v>
      </c>
      <c r="J62" s="5">
        <v>45979.454722222225</v>
      </c>
    </row>
    <row r="63" spans="1:10" x14ac:dyDescent="0.25">
      <c r="A63" s="2">
        <v>77</v>
      </c>
      <c r="B63" s="3">
        <v>45983</v>
      </c>
      <c r="C63" s="1" t="s">
        <v>22</v>
      </c>
      <c r="D63" s="3">
        <v>45982</v>
      </c>
      <c r="E63" s="2">
        <v>0</v>
      </c>
      <c r="F63" s="2">
        <v>44</v>
      </c>
      <c r="G63" s="2">
        <v>4</v>
      </c>
      <c r="H63" s="2">
        <v>4</v>
      </c>
      <c r="I63" s="4">
        <v>0.20624999999999999</v>
      </c>
      <c r="J63" s="5">
        <v>45985.312523148146</v>
      </c>
    </row>
    <row r="64" spans="1:10" x14ac:dyDescent="0.25">
      <c r="A64" s="2">
        <v>127</v>
      </c>
      <c r="B64" s="3">
        <v>45990</v>
      </c>
      <c r="C64" s="1" t="s">
        <v>22</v>
      </c>
      <c r="D64" s="3">
        <v>45990</v>
      </c>
      <c r="E64" s="2">
        <v>0</v>
      </c>
      <c r="F64" s="2">
        <v>42</v>
      </c>
      <c r="G64" s="2">
        <v>3</v>
      </c>
      <c r="H64" s="2">
        <v>1</v>
      </c>
      <c r="I64" s="4">
        <v>1.1110999999999999E-2</v>
      </c>
      <c r="J64" s="5">
        <v>45992.312523148146</v>
      </c>
    </row>
    <row r="65" spans="1:10" x14ac:dyDescent="0.25">
      <c r="A65" s="2">
        <v>177</v>
      </c>
      <c r="B65" s="3">
        <v>45997</v>
      </c>
      <c r="C65" s="1" t="s">
        <v>22</v>
      </c>
      <c r="D65" s="3">
        <v>45997</v>
      </c>
      <c r="E65" s="2">
        <v>0</v>
      </c>
      <c r="F65" s="2">
        <v>111</v>
      </c>
      <c r="G65" s="2">
        <v>14</v>
      </c>
      <c r="H65" s="2">
        <v>2</v>
      </c>
      <c r="I65" s="4">
        <v>0.17291699999999999</v>
      </c>
      <c r="J65" s="5">
        <v>45999.312523148146</v>
      </c>
    </row>
    <row r="66" spans="1:10" x14ac:dyDescent="0.25">
      <c r="A66" s="2">
        <v>227</v>
      </c>
      <c r="B66" s="3">
        <v>46003</v>
      </c>
      <c r="C66" s="1" t="s">
        <v>22</v>
      </c>
      <c r="D66" s="3">
        <v>46003</v>
      </c>
      <c r="E66" s="2">
        <v>0</v>
      </c>
      <c r="F66" s="2">
        <v>247</v>
      </c>
      <c r="G66" s="2">
        <v>6</v>
      </c>
      <c r="H66" s="2">
        <v>6</v>
      </c>
      <c r="I66" s="4">
        <v>0.20833299999999999</v>
      </c>
      <c r="J66" s="5">
        <v>46006.312523148146</v>
      </c>
    </row>
    <row r="67" spans="1:10" x14ac:dyDescent="0.25">
      <c r="A67" s="2">
        <v>35</v>
      </c>
      <c r="B67" s="3">
        <v>45977</v>
      </c>
      <c r="C67" s="1" t="s">
        <v>23</v>
      </c>
      <c r="D67" s="3">
        <v>45976</v>
      </c>
      <c r="E67" s="2">
        <v>5</v>
      </c>
      <c r="F67" s="2">
        <v>1298</v>
      </c>
      <c r="G67" s="2">
        <v>64</v>
      </c>
      <c r="H67" s="2">
        <v>42</v>
      </c>
      <c r="I67" s="4">
        <v>1.519444</v>
      </c>
      <c r="J67" s="5">
        <v>45979.454722222225</v>
      </c>
    </row>
    <row r="68" spans="1:10" x14ac:dyDescent="0.25">
      <c r="A68" s="2">
        <v>85</v>
      </c>
      <c r="B68" s="3">
        <v>45983</v>
      </c>
      <c r="C68" s="1" t="s">
        <v>23</v>
      </c>
      <c r="D68" s="3">
        <v>45983</v>
      </c>
      <c r="E68" s="2">
        <v>0</v>
      </c>
      <c r="F68" s="2">
        <v>311</v>
      </c>
      <c r="G68" s="2">
        <v>12</v>
      </c>
      <c r="H68" s="2">
        <v>13</v>
      </c>
      <c r="I68" s="4">
        <v>0.26805600000000002</v>
      </c>
      <c r="J68" s="5">
        <v>45985.312523148146</v>
      </c>
    </row>
    <row r="69" spans="1:10" x14ac:dyDescent="0.25">
      <c r="A69" s="2">
        <v>135</v>
      </c>
      <c r="B69" s="3">
        <v>45990</v>
      </c>
      <c r="C69" s="1" t="s">
        <v>23</v>
      </c>
      <c r="D69" s="3">
        <v>45989</v>
      </c>
      <c r="E69" s="2">
        <v>0</v>
      </c>
      <c r="F69" s="2">
        <v>380</v>
      </c>
      <c r="G69" s="2">
        <v>15</v>
      </c>
      <c r="H69" s="2">
        <v>4</v>
      </c>
      <c r="I69" s="4">
        <v>0.19513900000000001</v>
      </c>
      <c r="J69" s="5">
        <v>45992.312534722223</v>
      </c>
    </row>
    <row r="70" spans="1:10" x14ac:dyDescent="0.25">
      <c r="A70" s="2">
        <v>185</v>
      </c>
      <c r="B70" s="3">
        <v>45997</v>
      </c>
      <c r="C70" s="1" t="s">
        <v>23</v>
      </c>
      <c r="D70" s="3">
        <v>45997</v>
      </c>
      <c r="E70" s="2">
        <v>0</v>
      </c>
      <c r="F70" s="2">
        <v>333</v>
      </c>
      <c r="G70" s="2">
        <v>18</v>
      </c>
      <c r="H70" s="2">
        <v>8</v>
      </c>
      <c r="I70" s="4">
        <v>0.245833</v>
      </c>
      <c r="J70" s="5">
        <v>45999.312523148146</v>
      </c>
    </row>
    <row r="71" spans="1:10" x14ac:dyDescent="0.25">
      <c r="A71" s="2">
        <v>235</v>
      </c>
      <c r="B71" s="3">
        <v>46003</v>
      </c>
      <c r="C71" s="1" t="s">
        <v>23</v>
      </c>
      <c r="D71" s="3">
        <v>46003</v>
      </c>
      <c r="E71" s="2">
        <v>0</v>
      </c>
      <c r="F71" s="2">
        <v>207</v>
      </c>
      <c r="G71" s="2">
        <v>6</v>
      </c>
      <c r="H71" s="2">
        <v>8</v>
      </c>
      <c r="I71" s="4">
        <v>0.26388899999999998</v>
      </c>
      <c r="J71" s="5">
        <v>46006.312523148146</v>
      </c>
    </row>
    <row r="72" spans="1:10" x14ac:dyDescent="0.25">
      <c r="A72" s="2">
        <v>16</v>
      </c>
      <c r="B72" s="3">
        <v>45977</v>
      </c>
      <c r="C72" s="1" t="s">
        <v>24</v>
      </c>
      <c r="D72" s="3">
        <v>45975</v>
      </c>
      <c r="E72" s="2">
        <v>0</v>
      </c>
      <c r="F72" s="2">
        <v>585</v>
      </c>
      <c r="G72" s="2">
        <v>37</v>
      </c>
      <c r="H72" s="2">
        <v>26</v>
      </c>
      <c r="I72" s="2">
        <v>1.004861</v>
      </c>
      <c r="J72" s="5">
        <v>45979.454722222225</v>
      </c>
    </row>
    <row r="73" spans="1:10" x14ac:dyDescent="0.25">
      <c r="A73" s="2">
        <v>66</v>
      </c>
      <c r="B73" s="3">
        <v>45983</v>
      </c>
      <c r="C73" s="1" t="s">
        <v>24</v>
      </c>
      <c r="D73" s="3">
        <v>45982</v>
      </c>
      <c r="E73" s="2">
        <v>0</v>
      </c>
      <c r="F73" s="2">
        <v>186</v>
      </c>
      <c r="G73" s="2">
        <v>6</v>
      </c>
      <c r="H73" s="2">
        <v>14</v>
      </c>
      <c r="I73" s="4">
        <v>0.409028</v>
      </c>
      <c r="J73" s="5">
        <v>45985.312523148146</v>
      </c>
    </row>
    <row r="74" spans="1:10" x14ac:dyDescent="0.25">
      <c r="A74" s="2">
        <v>116</v>
      </c>
      <c r="B74" s="3">
        <v>45990</v>
      </c>
      <c r="C74" s="1" t="s">
        <v>24</v>
      </c>
      <c r="D74" s="3">
        <v>45989</v>
      </c>
      <c r="E74" s="2">
        <v>0</v>
      </c>
      <c r="F74" s="2">
        <v>188</v>
      </c>
      <c r="G74" s="2">
        <v>9</v>
      </c>
      <c r="H74" s="2">
        <v>7</v>
      </c>
      <c r="I74" s="4">
        <v>0.20694399999999999</v>
      </c>
      <c r="J74" s="5">
        <v>45992.312523148146</v>
      </c>
    </row>
    <row r="75" spans="1:10" x14ac:dyDescent="0.25">
      <c r="A75" s="2">
        <v>166</v>
      </c>
      <c r="B75" s="3">
        <v>45997</v>
      </c>
      <c r="C75" s="1" t="s">
        <v>24</v>
      </c>
      <c r="D75" s="3">
        <v>45997</v>
      </c>
      <c r="E75" s="2">
        <v>0</v>
      </c>
      <c r="F75" s="2">
        <v>182</v>
      </c>
      <c r="G75" s="2">
        <v>9</v>
      </c>
      <c r="H75" s="2">
        <v>6</v>
      </c>
      <c r="I75" s="4">
        <v>0.23819399999999999</v>
      </c>
      <c r="J75" s="5">
        <v>45999.312523148146</v>
      </c>
    </row>
    <row r="76" spans="1:10" x14ac:dyDescent="0.25">
      <c r="A76" s="2">
        <v>216</v>
      </c>
      <c r="B76" s="3">
        <v>46003</v>
      </c>
      <c r="C76" s="1" t="s">
        <v>24</v>
      </c>
      <c r="D76" s="3">
        <v>46003</v>
      </c>
      <c r="E76" s="2">
        <v>0</v>
      </c>
      <c r="F76" s="2">
        <v>135</v>
      </c>
      <c r="G76" s="2">
        <v>11</v>
      </c>
      <c r="H76" s="2">
        <v>6</v>
      </c>
      <c r="I76" s="4">
        <v>0.14861099999999999</v>
      </c>
      <c r="J76" s="5">
        <v>46006.312523148146</v>
      </c>
    </row>
    <row r="77" spans="1:10" x14ac:dyDescent="0.25">
      <c r="A77" s="2">
        <v>31</v>
      </c>
      <c r="B77" s="3">
        <v>45977</v>
      </c>
      <c r="C77" s="1" t="s">
        <v>25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5">
        <v>45979.454722222225</v>
      </c>
    </row>
    <row r="78" spans="1:10" x14ac:dyDescent="0.25">
      <c r="A78" s="2">
        <v>81</v>
      </c>
      <c r="B78" s="3">
        <v>45983</v>
      </c>
      <c r="C78" s="1" t="s">
        <v>25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5">
        <v>45985.312523148146</v>
      </c>
    </row>
    <row r="79" spans="1:10" x14ac:dyDescent="0.25">
      <c r="A79" s="2">
        <v>131</v>
      </c>
      <c r="B79" s="3">
        <v>45990</v>
      </c>
      <c r="C79" s="1" t="s">
        <v>25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  <c r="J79" s="5">
        <v>45992.312523148146</v>
      </c>
    </row>
    <row r="80" spans="1:10" x14ac:dyDescent="0.25">
      <c r="A80" s="2">
        <v>181</v>
      </c>
      <c r="B80" s="3">
        <v>45997</v>
      </c>
      <c r="C80" s="1" t="s">
        <v>25</v>
      </c>
      <c r="E80" s="2">
        <v>0</v>
      </c>
      <c r="F80" s="2">
        <v>0</v>
      </c>
      <c r="G80" s="2">
        <v>0</v>
      </c>
      <c r="H80" s="2">
        <v>0</v>
      </c>
      <c r="I80" s="2">
        <v>0</v>
      </c>
      <c r="J80" s="5">
        <v>45999.312523148146</v>
      </c>
    </row>
    <row r="81" spans="1:10" x14ac:dyDescent="0.25">
      <c r="A81" s="2">
        <v>231</v>
      </c>
      <c r="B81" s="3">
        <v>46003</v>
      </c>
      <c r="C81" s="1" t="s">
        <v>25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5">
        <v>46006.312523148146</v>
      </c>
    </row>
    <row r="82" spans="1:10" x14ac:dyDescent="0.25">
      <c r="A82" s="2">
        <v>43</v>
      </c>
      <c r="B82" s="3">
        <v>45977</v>
      </c>
      <c r="C82" s="1" t="s">
        <v>26</v>
      </c>
      <c r="D82" s="3">
        <v>45977</v>
      </c>
      <c r="E82" s="2">
        <v>0</v>
      </c>
      <c r="F82" s="2">
        <v>652</v>
      </c>
      <c r="G82" s="2">
        <v>41</v>
      </c>
      <c r="H82" s="2">
        <v>41</v>
      </c>
      <c r="I82" s="4">
        <v>1.567361</v>
      </c>
      <c r="J82" s="5">
        <v>45979.454722222225</v>
      </c>
    </row>
    <row r="83" spans="1:10" x14ac:dyDescent="0.25">
      <c r="A83" s="2">
        <v>93</v>
      </c>
      <c r="B83" s="3">
        <v>45983</v>
      </c>
      <c r="C83" s="1" t="s">
        <v>26</v>
      </c>
      <c r="D83" s="3">
        <v>45983</v>
      </c>
      <c r="E83" s="2">
        <v>0</v>
      </c>
      <c r="F83" s="2">
        <v>120</v>
      </c>
      <c r="G83" s="2">
        <v>14</v>
      </c>
      <c r="H83" s="2">
        <v>9</v>
      </c>
      <c r="I83" s="4">
        <v>0.53819399999999995</v>
      </c>
      <c r="J83" s="5">
        <v>45985.312523148146</v>
      </c>
    </row>
    <row r="84" spans="1:10" x14ac:dyDescent="0.25">
      <c r="A84" s="2">
        <v>143</v>
      </c>
      <c r="B84" s="3">
        <v>45990</v>
      </c>
      <c r="C84" s="1" t="s">
        <v>26</v>
      </c>
      <c r="D84" s="3">
        <v>45990</v>
      </c>
      <c r="E84" s="2">
        <v>0</v>
      </c>
      <c r="F84" s="2">
        <v>143</v>
      </c>
      <c r="G84" s="2">
        <v>17</v>
      </c>
      <c r="H84" s="2">
        <v>4</v>
      </c>
      <c r="I84" s="4">
        <v>0.220833</v>
      </c>
      <c r="J84" s="5">
        <v>45992.312534722223</v>
      </c>
    </row>
    <row r="85" spans="1:10" x14ac:dyDescent="0.25">
      <c r="A85" s="2">
        <v>193</v>
      </c>
      <c r="B85" s="3">
        <v>45997</v>
      </c>
      <c r="C85" s="1" t="s">
        <v>26</v>
      </c>
      <c r="D85" s="3">
        <v>45996</v>
      </c>
      <c r="E85" s="2">
        <v>0</v>
      </c>
      <c r="F85" s="2">
        <v>108</v>
      </c>
      <c r="G85" s="2">
        <v>8</v>
      </c>
      <c r="H85" s="2">
        <v>9</v>
      </c>
      <c r="I85" s="4">
        <v>0.25138899999999997</v>
      </c>
      <c r="J85" s="5">
        <v>45999.312523148146</v>
      </c>
    </row>
    <row r="86" spans="1:10" x14ac:dyDescent="0.25">
      <c r="A86" s="2">
        <v>243</v>
      </c>
      <c r="B86" s="3">
        <v>46003</v>
      </c>
      <c r="C86" s="1" t="s">
        <v>26</v>
      </c>
      <c r="D86" s="3">
        <v>46003</v>
      </c>
      <c r="E86" s="2">
        <v>0</v>
      </c>
      <c r="F86" s="2">
        <v>94</v>
      </c>
      <c r="G86" s="2">
        <v>8</v>
      </c>
      <c r="H86" s="2">
        <v>6</v>
      </c>
      <c r="I86" s="4">
        <v>0.28055600000000003</v>
      </c>
      <c r="J86" s="5">
        <v>46006.312523148146</v>
      </c>
    </row>
    <row r="87" spans="1:10" x14ac:dyDescent="0.25">
      <c r="A87" s="2">
        <v>7</v>
      </c>
      <c r="B87" s="3">
        <v>45977</v>
      </c>
      <c r="C87" s="1" t="s">
        <v>27</v>
      </c>
      <c r="D87" s="3">
        <v>45977</v>
      </c>
      <c r="E87" s="2">
        <v>0</v>
      </c>
      <c r="F87" s="2">
        <v>309</v>
      </c>
      <c r="G87" s="2">
        <v>12</v>
      </c>
      <c r="H87" s="2">
        <v>23</v>
      </c>
      <c r="I87" s="4">
        <v>0.70694400000000002</v>
      </c>
      <c r="J87" s="5">
        <v>45979.454722222225</v>
      </c>
    </row>
    <row r="88" spans="1:10" x14ac:dyDescent="0.25">
      <c r="A88" s="2">
        <v>57</v>
      </c>
      <c r="B88" s="3">
        <v>45983</v>
      </c>
      <c r="C88" s="1" t="s">
        <v>27</v>
      </c>
      <c r="D88" s="3">
        <v>45982</v>
      </c>
      <c r="E88" s="2">
        <v>0</v>
      </c>
      <c r="F88" s="2">
        <v>18</v>
      </c>
      <c r="G88" s="2">
        <v>1</v>
      </c>
      <c r="H88" s="2">
        <v>7</v>
      </c>
      <c r="I88" s="4">
        <v>0.154861</v>
      </c>
      <c r="J88" s="5">
        <v>45985.312523148146</v>
      </c>
    </row>
    <row r="89" spans="1:10" x14ac:dyDescent="0.25">
      <c r="A89" s="2">
        <v>107</v>
      </c>
      <c r="B89" s="3">
        <v>45990</v>
      </c>
      <c r="C89" s="1" t="s">
        <v>27</v>
      </c>
      <c r="D89" s="3">
        <v>45990</v>
      </c>
      <c r="E89" s="2">
        <v>0</v>
      </c>
      <c r="F89" s="2">
        <v>108</v>
      </c>
      <c r="G89" s="2">
        <v>3</v>
      </c>
      <c r="H89" s="2">
        <v>6</v>
      </c>
      <c r="I89" s="4">
        <v>0.189583</v>
      </c>
      <c r="J89" s="5">
        <v>45992.312523148146</v>
      </c>
    </row>
    <row r="90" spans="1:10" x14ac:dyDescent="0.25">
      <c r="A90" s="2">
        <v>157</v>
      </c>
      <c r="B90" s="3">
        <v>45997</v>
      </c>
      <c r="C90" s="1" t="s">
        <v>27</v>
      </c>
      <c r="D90" s="3">
        <v>45997</v>
      </c>
      <c r="E90" s="2">
        <v>0</v>
      </c>
      <c r="F90" s="2">
        <v>60</v>
      </c>
      <c r="G90" s="2">
        <v>0</v>
      </c>
      <c r="H90" s="2">
        <v>3</v>
      </c>
      <c r="I90" s="4">
        <v>3.3333000000000002E-2</v>
      </c>
      <c r="J90" s="5">
        <v>45999.312523148146</v>
      </c>
    </row>
    <row r="91" spans="1:10" x14ac:dyDescent="0.25">
      <c r="A91" s="2">
        <v>207</v>
      </c>
      <c r="B91" s="3">
        <v>46003</v>
      </c>
      <c r="C91" s="1" t="s">
        <v>27</v>
      </c>
      <c r="D91" s="3">
        <v>46003</v>
      </c>
      <c r="E91" s="2">
        <v>0</v>
      </c>
      <c r="F91" s="2">
        <v>61</v>
      </c>
      <c r="G91" s="2">
        <v>3</v>
      </c>
      <c r="H91" s="2">
        <v>4</v>
      </c>
      <c r="I91" s="4">
        <v>3.4722000000000003E-2</v>
      </c>
      <c r="J91" s="5">
        <v>46006.312523148146</v>
      </c>
    </row>
    <row r="92" spans="1:10" x14ac:dyDescent="0.25">
      <c r="A92" s="2">
        <v>20</v>
      </c>
      <c r="B92" s="3">
        <v>45977</v>
      </c>
      <c r="C92" s="1" t="s">
        <v>28</v>
      </c>
      <c r="D92" s="3">
        <v>45975</v>
      </c>
      <c r="E92" s="2">
        <v>0</v>
      </c>
      <c r="F92" s="2">
        <v>265</v>
      </c>
      <c r="G92" s="2">
        <v>25</v>
      </c>
      <c r="H92" s="2">
        <v>2</v>
      </c>
      <c r="I92" s="4">
        <v>0.29791699999999999</v>
      </c>
      <c r="J92" s="5">
        <v>45979.454722222225</v>
      </c>
    </row>
    <row r="93" spans="1:10" x14ac:dyDescent="0.25">
      <c r="A93" s="2">
        <v>70</v>
      </c>
      <c r="B93" s="3">
        <v>45983</v>
      </c>
      <c r="C93" s="1" t="s">
        <v>28</v>
      </c>
      <c r="D93" s="3">
        <v>45982</v>
      </c>
      <c r="E93" s="2">
        <v>0</v>
      </c>
      <c r="F93" s="2">
        <v>38</v>
      </c>
      <c r="G93" s="2">
        <v>3</v>
      </c>
      <c r="H93" s="2">
        <v>0</v>
      </c>
      <c r="I93" s="4">
        <v>2.7778000000000001E-2</v>
      </c>
      <c r="J93" s="5">
        <v>45985.312523148146</v>
      </c>
    </row>
    <row r="94" spans="1:10" x14ac:dyDescent="0.25">
      <c r="A94" s="2">
        <v>120</v>
      </c>
      <c r="B94" s="3">
        <v>45990</v>
      </c>
      <c r="C94" s="1" t="s">
        <v>28</v>
      </c>
      <c r="D94" s="3">
        <v>45989</v>
      </c>
      <c r="E94" s="2">
        <v>0</v>
      </c>
      <c r="F94" s="2">
        <v>42</v>
      </c>
      <c r="G94" s="2">
        <v>0</v>
      </c>
      <c r="H94" s="2">
        <v>0</v>
      </c>
      <c r="I94" s="2">
        <v>0</v>
      </c>
      <c r="J94" s="5">
        <v>45992.312523148146</v>
      </c>
    </row>
    <row r="95" spans="1:10" x14ac:dyDescent="0.25">
      <c r="A95" s="2">
        <v>170</v>
      </c>
      <c r="B95" s="3">
        <v>45997</v>
      </c>
      <c r="C95" s="1" t="s">
        <v>28</v>
      </c>
      <c r="D95" s="3">
        <v>45995</v>
      </c>
      <c r="E95" s="2">
        <v>0</v>
      </c>
      <c r="F95" s="2">
        <v>31</v>
      </c>
      <c r="G95" s="2">
        <v>2</v>
      </c>
      <c r="H95" s="2">
        <v>0</v>
      </c>
      <c r="I95" s="2">
        <v>4.8609999999999999E-3</v>
      </c>
      <c r="J95" s="5">
        <v>45999.312523148146</v>
      </c>
    </row>
    <row r="96" spans="1:10" x14ac:dyDescent="0.25">
      <c r="A96" s="2">
        <v>220</v>
      </c>
      <c r="B96" s="3">
        <v>46003</v>
      </c>
      <c r="C96" s="1" t="s">
        <v>28</v>
      </c>
      <c r="D96" s="3">
        <v>46003</v>
      </c>
      <c r="E96" s="2">
        <v>0</v>
      </c>
      <c r="F96" s="2">
        <v>15</v>
      </c>
      <c r="G96" s="2">
        <v>1</v>
      </c>
      <c r="H96" s="2">
        <v>0</v>
      </c>
      <c r="I96" s="2">
        <v>1.389E-3</v>
      </c>
      <c r="J96" s="5">
        <v>46006.312523148146</v>
      </c>
    </row>
    <row r="97" spans="1:10" x14ac:dyDescent="0.25">
      <c r="A97" s="2">
        <v>3</v>
      </c>
      <c r="B97" s="3">
        <v>45977</v>
      </c>
      <c r="C97" s="1" t="s">
        <v>29</v>
      </c>
      <c r="D97" s="3">
        <v>45975</v>
      </c>
      <c r="E97" s="2">
        <v>0</v>
      </c>
      <c r="F97" s="2">
        <v>223</v>
      </c>
      <c r="G97" s="2">
        <v>5</v>
      </c>
      <c r="H97" s="2">
        <v>4</v>
      </c>
      <c r="I97" s="4">
        <v>0.68472200000000005</v>
      </c>
      <c r="J97" s="5">
        <v>45979.454722222225</v>
      </c>
    </row>
    <row r="98" spans="1:10" x14ac:dyDescent="0.25">
      <c r="A98" s="2">
        <v>53</v>
      </c>
      <c r="B98" s="3">
        <v>45983</v>
      </c>
      <c r="C98" s="1" t="s">
        <v>29</v>
      </c>
      <c r="D98" s="3">
        <v>45982</v>
      </c>
      <c r="E98" s="2">
        <v>0</v>
      </c>
      <c r="F98" s="2">
        <v>36</v>
      </c>
      <c r="G98" s="2">
        <v>1</v>
      </c>
      <c r="H98" s="2">
        <v>0</v>
      </c>
      <c r="I98" s="4">
        <v>5.5560000000000002E-3</v>
      </c>
      <c r="J98" s="5">
        <v>45985.312523148146</v>
      </c>
    </row>
    <row r="99" spans="1:10" x14ac:dyDescent="0.25">
      <c r="A99" s="2">
        <v>103</v>
      </c>
      <c r="B99" s="3">
        <v>45990</v>
      </c>
      <c r="C99" s="1" t="s">
        <v>29</v>
      </c>
      <c r="D99" s="3">
        <v>45989</v>
      </c>
      <c r="E99" s="2">
        <v>0</v>
      </c>
      <c r="F99" s="2">
        <v>43</v>
      </c>
      <c r="G99" s="2">
        <v>0</v>
      </c>
      <c r="H99" s="2">
        <v>0</v>
      </c>
      <c r="I99" s="2">
        <v>0</v>
      </c>
      <c r="J99" s="5">
        <v>45992.312523148146</v>
      </c>
    </row>
    <row r="100" spans="1:10" x14ac:dyDescent="0.25">
      <c r="A100" s="2">
        <v>153</v>
      </c>
      <c r="B100" s="3">
        <v>45997</v>
      </c>
      <c r="C100" s="1" t="s">
        <v>29</v>
      </c>
      <c r="D100" s="3">
        <v>45996</v>
      </c>
      <c r="E100" s="2">
        <v>0</v>
      </c>
      <c r="F100" s="2">
        <v>66</v>
      </c>
      <c r="G100" s="2">
        <v>0</v>
      </c>
      <c r="H100" s="2">
        <v>0</v>
      </c>
      <c r="I100" s="2">
        <v>0</v>
      </c>
      <c r="J100" s="5">
        <v>45999.312523148146</v>
      </c>
    </row>
    <row r="101" spans="1:10" x14ac:dyDescent="0.25">
      <c r="A101" s="2">
        <v>203</v>
      </c>
      <c r="B101" s="3">
        <v>46003</v>
      </c>
      <c r="C101" s="1" t="s">
        <v>29</v>
      </c>
      <c r="D101" s="3">
        <v>46003</v>
      </c>
      <c r="E101" s="2">
        <v>0</v>
      </c>
      <c r="F101" s="2">
        <v>61</v>
      </c>
      <c r="G101" s="2">
        <v>1</v>
      </c>
      <c r="H101" s="2">
        <v>0</v>
      </c>
      <c r="I101" s="2">
        <v>4.8609999999999999E-3</v>
      </c>
      <c r="J101" s="5">
        <v>46006.312523148146</v>
      </c>
    </row>
    <row r="102" spans="1:10" x14ac:dyDescent="0.25">
      <c r="A102" s="2">
        <v>11</v>
      </c>
      <c r="B102" s="3">
        <v>45977</v>
      </c>
      <c r="C102" s="1" t="s">
        <v>30</v>
      </c>
      <c r="D102" s="3">
        <v>45976</v>
      </c>
      <c r="E102" s="2">
        <v>0</v>
      </c>
      <c r="F102" s="2">
        <v>1270</v>
      </c>
      <c r="G102" s="2">
        <v>85</v>
      </c>
      <c r="H102" s="2">
        <v>44</v>
      </c>
      <c r="I102" s="4">
        <v>2.1805560000000002</v>
      </c>
      <c r="J102" s="5">
        <v>45979.454722222225</v>
      </c>
    </row>
    <row r="103" spans="1:10" x14ac:dyDescent="0.25">
      <c r="A103" s="2">
        <v>61</v>
      </c>
      <c r="B103" s="3">
        <v>45983</v>
      </c>
      <c r="C103" s="1" t="s">
        <v>30</v>
      </c>
      <c r="D103" s="3">
        <v>45983</v>
      </c>
      <c r="E103" s="2">
        <v>0</v>
      </c>
      <c r="F103" s="2">
        <v>298</v>
      </c>
      <c r="G103" s="2">
        <v>17</v>
      </c>
      <c r="H103" s="2">
        <v>14</v>
      </c>
      <c r="I103" s="4">
        <v>0.58333299999999999</v>
      </c>
      <c r="J103" s="5">
        <v>45985.312523148146</v>
      </c>
    </row>
    <row r="104" spans="1:10" x14ac:dyDescent="0.25">
      <c r="A104" s="2">
        <v>111</v>
      </c>
      <c r="B104" s="3">
        <v>45990</v>
      </c>
      <c r="C104" s="1" t="s">
        <v>30</v>
      </c>
      <c r="D104" s="3">
        <v>45989</v>
      </c>
      <c r="E104" s="2">
        <v>0</v>
      </c>
      <c r="F104" s="2">
        <v>333</v>
      </c>
      <c r="G104" s="2">
        <v>28</v>
      </c>
      <c r="H104" s="2">
        <v>10</v>
      </c>
      <c r="I104" s="4">
        <v>0.33750000000000002</v>
      </c>
      <c r="J104" s="5">
        <v>45992.312523148146</v>
      </c>
    </row>
    <row r="105" spans="1:10" x14ac:dyDescent="0.25">
      <c r="A105" s="2">
        <v>161</v>
      </c>
      <c r="B105" s="3">
        <v>45997</v>
      </c>
      <c r="C105" s="1" t="s">
        <v>30</v>
      </c>
      <c r="D105" s="3">
        <v>45996</v>
      </c>
      <c r="E105" s="2">
        <v>0</v>
      </c>
      <c r="F105" s="2">
        <v>400</v>
      </c>
      <c r="G105" s="2">
        <v>22</v>
      </c>
      <c r="H105" s="2">
        <v>12</v>
      </c>
      <c r="I105" s="4">
        <v>0.50277799999999995</v>
      </c>
      <c r="J105" s="5">
        <v>45999.312523148146</v>
      </c>
    </row>
    <row r="106" spans="1:10" x14ac:dyDescent="0.25">
      <c r="A106" s="2">
        <v>211</v>
      </c>
      <c r="B106" s="3">
        <v>46003</v>
      </c>
      <c r="C106" s="1" t="s">
        <v>30</v>
      </c>
      <c r="D106" s="3">
        <v>46003</v>
      </c>
      <c r="E106" s="2">
        <v>0</v>
      </c>
      <c r="F106" s="2">
        <v>198</v>
      </c>
      <c r="G106" s="2">
        <v>21</v>
      </c>
      <c r="H106" s="2">
        <v>8</v>
      </c>
      <c r="I106" s="4">
        <v>0.34027800000000002</v>
      </c>
      <c r="J106" s="5">
        <v>46006.312523148146</v>
      </c>
    </row>
    <row r="107" spans="1:10" x14ac:dyDescent="0.25">
      <c r="A107" s="2">
        <v>17</v>
      </c>
      <c r="B107" s="3">
        <v>45977</v>
      </c>
      <c r="C107" s="1" t="s">
        <v>31</v>
      </c>
      <c r="D107" s="3">
        <v>45977</v>
      </c>
      <c r="E107" s="2">
        <v>0</v>
      </c>
      <c r="F107" s="2">
        <v>951</v>
      </c>
      <c r="G107" s="2">
        <v>20</v>
      </c>
      <c r="H107" s="2">
        <v>16</v>
      </c>
      <c r="I107" s="4">
        <v>0.53680600000000001</v>
      </c>
      <c r="J107" s="5">
        <v>45979.454722222225</v>
      </c>
    </row>
    <row r="108" spans="1:10" x14ac:dyDescent="0.25">
      <c r="A108" s="2">
        <v>67</v>
      </c>
      <c r="B108" s="3">
        <v>45983</v>
      </c>
      <c r="C108" s="1" t="s">
        <v>31</v>
      </c>
      <c r="D108" s="3">
        <v>45983</v>
      </c>
      <c r="E108" s="2">
        <v>0</v>
      </c>
      <c r="F108" s="2">
        <v>218</v>
      </c>
      <c r="G108" s="2">
        <v>4</v>
      </c>
      <c r="H108" s="2">
        <v>4</v>
      </c>
      <c r="I108" s="4">
        <v>0.14305599999999999</v>
      </c>
      <c r="J108" s="5">
        <v>45985.312523148146</v>
      </c>
    </row>
    <row r="109" spans="1:10" x14ac:dyDescent="0.25">
      <c r="A109" s="2">
        <v>117</v>
      </c>
      <c r="B109" s="3">
        <v>45990</v>
      </c>
      <c r="C109" s="1" t="s">
        <v>31</v>
      </c>
      <c r="D109" s="3">
        <v>45990</v>
      </c>
      <c r="E109" s="2">
        <v>0</v>
      </c>
      <c r="F109" s="2">
        <v>182</v>
      </c>
      <c r="G109" s="2">
        <v>6</v>
      </c>
      <c r="H109" s="2">
        <v>2</v>
      </c>
      <c r="I109" s="4">
        <v>6.3889000000000001E-2</v>
      </c>
      <c r="J109" s="5">
        <v>45992.312523148146</v>
      </c>
    </row>
    <row r="110" spans="1:10" x14ac:dyDescent="0.25">
      <c r="A110" s="2">
        <v>167</v>
      </c>
      <c r="B110" s="3">
        <v>45997</v>
      </c>
      <c r="C110" s="1" t="s">
        <v>31</v>
      </c>
      <c r="D110" s="3">
        <v>45996</v>
      </c>
      <c r="E110" s="2">
        <v>0</v>
      </c>
      <c r="F110" s="2">
        <v>192</v>
      </c>
      <c r="G110" s="2">
        <v>7</v>
      </c>
      <c r="H110" s="2">
        <v>1</v>
      </c>
      <c r="I110" s="4">
        <v>8.0556000000000003E-2</v>
      </c>
      <c r="J110" s="5">
        <v>45999.312523148146</v>
      </c>
    </row>
    <row r="111" spans="1:10" x14ac:dyDescent="0.25">
      <c r="A111" s="2">
        <v>217</v>
      </c>
      <c r="B111" s="3">
        <v>46003</v>
      </c>
      <c r="C111" s="1" t="s">
        <v>31</v>
      </c>
      <c r="D111" s="3">
        <v>46003</v>
      </c>
      <c r="E111" s="2">
        <v>0</v>
      </c>
      <c r="F111" s="2">
        <v>25</v>
      </c>
      <c r="G111" s="2">
        <v>2</v>
      </c>
      <c r="H111" s="2">
        <v>1</v>
      </c>
      <c r="I111" s="4">
        <v>2.6388999999999999E-2</v>
      </c>
      <c r="J111" s="5">
        <v>46006.312523148146</v>
      </c>
    </row>
    <row r="112" spans="1:10" x14ac:dyDescent="0.25">
      <c r="A112" s="2">
        <v>19</v>
      </c>
      <c r="B112" s="3">
        <v>45977</v>
      </c>
      <c r="C112" s="1" t="s">
        <v>32</v>
      </c>
      <c r="D112" s="3">
        <v>45975</v>
      </c>
      <c r="E112" s="2">
        <v>0</v>
      </c>
      <c r="F112" s="2">
        <v>252</v>
      </c>
      <c r="G112" s="2">
        <v>47</v>
      </c>
      <c r="H112" s="2">
        <v>2</v>
      </c>
      <c r="I112" s="4">
        <v>0.55694399999999999</v>
      </c>
      <c r="J112" s="5">
        <v>45979.454722222225</v>
      </c>
    </row>
    <row r="113" spans="1:10" x14ac:dyDescent="0.25">
      <c r="A113" s="2">
        <v>69</v>
      </c>
      <c r="B113" s="3">
        <v>45983</v>
      </c>
      <c r="C113" s="1" t="s">
        <v>32</v>
      </c>
      <c r="D113" s="3">
        <v>45982</v>
      </c>
      <c r="E113" s="2">
        <v>0</v>
      </c>
      <c r="F113" s="2">
        <v>78</v>
      </c>
      <c r="G113" s="2">
        <v>13</v>
      </c>
      <c r="H113" s="2">
        <v>2</v>
      </c>
      <c r="I113" s="4">
        <v>0.19722200000000001</v>
      </c>
      <c r="J113" s="5">
        <v>45985.312523148146</v>
      </c>
    </row>
    <row r="114" spans="1:10" x14ac:dyDescent="0.25">
      <c r="A114" s="2">
        <v>119</v>
      </c>
      <c r="B114" s="3">
        <v>45990</v>
      </c>
      <c r="C114" s="1" t="s">
        <v>32</v>
      </c>
      <c r="D114" s="3">
        <v>45989</v>
      </c>
      <c r="E114" s="2">
        <v>0</v>
      </c>
      <c r="F114" s="2">
        <v>37</v>
      </c>
      <c r="G114" s="2">
        <v>8</v>
      </c>
      <c r="H114" s="2">
        <v>0</v>
      </c>
      <c r="I114" s="4">
        <v>6.8750000000000006E-2</v>
      </c>
      <c r="J114" s="5">
        <v>45992.312523148146</v>
      </c>
    </row>
    <row r="115" spans="1:10" x14ac:dyDescent="0.25">
      <c r="A115" s="2">
        <v>169</v>
      </c>
      <c r="B115" s="3">
        <v>45997</v>
      </c>
      <c r="C115" s="1" t="s">
        <v>32</v>
      </c>
      <c r="D115" s="3">
        <v>45996</v>
      </c>
      <c r="E115" s="2">
        <v>0</v>
      </c>
      <c r="F115" s="2">
        <v>96</v>
      </c>
      <c r="G115" s="2">
        <v>13</v>
      </c>
      <c r="H115" s="2">
        <v>2</v>
      </c>
      <c r="I115" s="4">
        <v>0.11736099999999999</v>
      </c>
      <c r="J115" s="5">
        <v>45999.312523148146</v>
      </c>
    </row>
    <row r="116" spans="1:10" x14ac:dyDescent="0.25">
      <c r="A116" s="2">
        <v>219</v>
      </c>
      <c r="B116" s="3">
        <v>46003</v>
      </c>
      <c r="C116" s="1" t="s">
        <v>32</v>
      </c>
      <c r="D116" s="3">
        <v>46003</v>
      </c>
      <c r="E116" s="2">
        <v>0</v>
      </c>
      <c r="F116" s="2">
        <v>39</v>
      </c>
      <c r="G116" s="2">
        <v>9</v>
      </c>
      <c r="H116" s="2">
        <v>0</v>
      </c>
      <c r="I116" s="4">
        <v>8.3333000000000004E-2</v>
      </c>
      <c r="J116" s="5">
        <v>46006.312523148146</v>
      </c>
    </row>
    <row r="117" spans="1:10" x14ac:dyDescent="0.25">
      <c r="A117" s="2">
        <v>22</v>
      </c>
      <c r="B117" s="3">
        <v>45977</v>
      </c>
      <c r="C117" s="1" t="s">
        <v>33</v>
      </c>
      <c r="D117" s="3">
        <v>45976</v>
      </c>
      <c r="E117" s="2">
        <v>0</v>
      </c>
      <c r="F117" s="2">
        <v>511</v>
      </c>
      <c r="G117" s="2">
        <v>55</v>
      </c>
      <c r="H117" s="2">
        <v>28</v>
      </c>
      <c r="I117" s="4">
        <v>1.2749999999999999</v>
      </c>
      <c r="J117" s="5">
        <v>45979.454722222225</v>
      </c>
    </row>
    <row r="118" spans="1:10" x14ac:dyDescent="0.25">
      <c r="A118" s="2">
        <v>72</v>
      </c>
      <c r="B118" s="3">
        <v>45983</v>
      </c>
      <c r="C118" s="1" t="s">
        <v>33</v>
      </c>
      <c r="D118" s="3">
        <v>45982</v>
      </c>
      <c r="E118" s="2">
        <v>0</v>
      </c>
      <c r="F118" s="2">
        <v>83</v>
      </c>
      <c r="G118" s="2">
        <v>15</v>
      </c>
      <c r="H118" s="2">
        <v>6</v>
      </c>
      <c r="I118" s="4">
        <v>0.27291700000000002</v>
      </c>
      <c r="J118" s="5">
        <v>45985.312523148146</v>
      </c>
    </row>
    <row r="119" spans="1:10" x14ac:dyDescent="0.25">
      <c r="A119" s="2">
        <v>122</v>
      </c>
      <c r="B119" s="3">
        <v>45990</v>
      </c>
      <c r="C119" s="1" t="s">
        <v>33</v>
      </c>
      <c r="D119" s="3">
        <v>45989</v>
      </c>
      <c r="E119" s="2">
        <v>0</v>
      </c>
      <c r="F119" s="2">
        <v>102</v>
      </c>
      <c r="G119" s="2">
        <v>7</v>
      </c>
      <c r="H119" s="2">
        <v>3</v>
      </c>
      <c r="I119" s="4">
        <v>0.13611100000000001</v>
      </c>
      <c r="J119" s="5">
        <v>45992.312523148146</v>
      </c>
    </row>
    <row r="120" spans="1:10" x14ac:dyDescent="0.25">
      <c r="A120" s="2">
        <v>172</v>
      </c>
      <c r="B120" s="3">
        <v>45997</v>
      </c>
      <c r="C120" s="1" t="s">
        <v>33</v>
      </c>
      <c r="D120" s="3">
        <v>45996</v>
      </c>
      <c r="E120" s="2">
        <v>0</v>
      </c>
      <c r="F120" s="2">
        <v>156</v>
      </c>
      <c r="G120" s="2">
        <v>16</v>
      </c>
      <c r="H120" s="2">
        <v>5</v>
      </c>
      <c r="I120" s="4">
        <v>0.109722</v>
      </c>
      <c r="J120" s="5">
        <v>45999.312523148146</v>
      </c>
    </row>
    <row r="121" spans="1:10" x14ac:dyDescent="0.25">
      <c r="A121" s="2">
        <v>222</v>
      </c>
      <c r="B121" s="3">
        <v>46003</v>
      </c>
      <c r="C121" s="1" t="s">
        <v>33</v>
      </c>
      <c r="D121" s="3">
        <v>46003</v>
      </c>
      <c r="E121" s="2">
        <v>0</v>
      </c>
      <c r="F121" s="2">
        <v>122</v>
      </c>
      <c r="G121" s="2">
        <v>12</v>
      </c>
      <c r="H121" s="2">
        <v>6</v>
      </c>
      <c r="I121" s="4">
        <v>0.13611100000000001</v>
      </c>
      <c r="J121" s="5">
        <v>46006.312523148146</v>
      </c>
    </row>
    <row r="122" spans="1:10" x14ac:dyDescent="0.25">
      <c r="A122" s="2">
        <v>26</v>
      </c>
      <c r="B122" s="3">
        <v>45977</v>
      </c>
      <c r="C122" s="1" t="s">
        <v>34</v>
      </c>
      <c r="D122" s="3">
        <v>45975</v>
      </c>
      <c r="E122" s="2">
        <v>0</v>
      </c>
      <c r="F122" s="2">
        <v>24</v>
      </c>
      <c r="G122" s="2">
        <v>9</v>
      </c>
      <c r="H122" s="2">
        <v>1</v>
      </c>
      <c r="I122" s="4">
        <v>0.17569399999999999</v>
      </c>
      <c r="J122" s="5">
        <v>45979.454722222225</v>
      </c>
    </row>
    <row r="123" spans="1:10" x14ac:dyDescent="0.25">
      <c r="A123" s="2">
        <v>76</v>
      </c>
      <c r="B123" s="3">
        <v>45983</v>
      </c>
      <c r="C123" s="1" t="s">
        <v>34</v>
      </c>
      <c r="D123" s="3">
        <v>45982</v>
      </c>
      <c r="E123" s="2">
        <v>0</v>
      </c>
      <c r="F123" s="2">
        <v>26</v>
      </c>
      <c r="G123" s="2">
        <v>1</v>
      </c>
      <c r="H123" s="2">
        <v>0</v>
      </c>
      <c r="I123" s="4">
        <v>1.3194000000000001E-2</v>
      </c>
      <c r="J123" s="5">
        <v>45985.312523148146</v>
      </c>
    </row>
    <row r="124" spans="1:10" x14ac:dyDescent="0.25">
      <c r="A124" s="2">
        <v>126</v>
      </c>
      <c r="B124" s="3">
        <v>45990</v>
      </c>
      <c r="C124" s="1" t="s">
        <v>34</v>
      </c>
      <c r="D124" s="3">
        <v>45989</v>
      </c>
      <c r="E124" s="2">
        <v>0</v>
      </c>
      <c r="F124" s="2">
        <v>34</v>
      </c>
      <c r="G124" s="2">
        <v>3</v>
      </c>
      <c r="H124" s="2">
        <v>0</v>
      </c>
      <c r="I124" s="4">
        <v>1.6667000000000001E-2</v>
      </c>
      <c r="J124" s="5">
        <v>45992.312523148146</v>
      </c>
    </row>
    <row r="125" spans="1:10" x14ac:dyDescent="0.25">
      <c r="A125" s="2">
        <v>176</v>
      </c>
      <c r="B125" s="3">
        <v>45997</v>
      </c>
      <c r="C125" s="1" t="s">
        <v>34</v>
      </c>
      <c r="D125" s="3">
        <v>45996</v>
      </c>
      <c r="E125" s="2">
        <v>0</v>
      </c>
      <c r="F125" s="2">
        <v>30</v>
      </c>
      <c r="G125" s="2">
        <v>1</v>
      </c>
      <c r="H125" s="2">
        <v>0</v>
      </c>
      <c r="I125" s="2">
        <v>3.4719999999999998E-3</v>
      </c>
      <c r="J125" s="5">
        <v>45999.312523148146</v>
      </c>
    </row>
    <row r="126" spans="1:10" x14ac:dyDescent="0.25">
      <c r="A126" s="2">
        <v>226</v>
      </c>
      <c r="B126" s="3">
        <v>46003</v>
      </c>
      <c r="C126" s="1" t="s">
        <v>34</v>
      </c>
      <c r="D126" s="3">
        <v>46003</v>
      </c>
      <c r="E126" s="2">
        <v>0</v>
      </c>
      <c r="F126" s="2">
        <v>3</v>
      </c>
      <c r="G126" s="2">
        <v>1</v>
      </c>
      <c r="H126" s="2">
        <v>0</v>
      </c>
      <c r="I126" s="2">
        <v>6.9399999999999996E-4</v>
      </c>
      <c r="J126" s="5">
        <v>46006.312523148146</v>
      </c>
    </row>
    <row r="127" spans="1:10" x14ac:dyDescent="0.25">
      <c r="A127" s="2">
        <v>14</v>
      </c>
      <c r="B127" s="3">
        <v>45977</v>
      </c>
      <c r="C127" s="1" t="s">
        <v>35</v>
      </c>
      <c r="D127" s="3">
        <v>45976</v>
      </c>
      <c r="E127" s="2">
        <v>0</v>
      </c>
      <c r="F127" s="2">
        <v>837</v>
      </c>
      <c r="G127" s="2">
        <v>19</v>
      </c>
      <c r="H127" s="2">
        <v>1</v>
      </c>
      <c r="I127" s="4">
        <v>0.26458300000000001</v>
      </c>
      <c r="J127" s="5">
        <v>45979.454722222225</v>
      </c>
    </row>
    <row r="128" spans="1:10" x14ac:dyDescent="0.25">
      <c r="A128" s="2">
        <v>64</v>
      </c>
      <c r="B128" s="3">
        <v>45983</v>
      </c>
      <c r="C128" s="1" t="s">
        <v>35</v>
      </c>
      <c r="D128" s="3">
        <v>45982</v>
      </c>
      <c r="E128" s="2">
        <v>0</v>
      </c>
      <c r="F128" s="2">
        <v>0</v>
      </c>
      <c r="G128" s="2">
        <v>0</v>
      </c>
      <c r="H128" s="2">
        <v>0</v>
      </c>
      <c r="I128" s="2">
        <v>0</v>
      </c>
      <c r="J128" s="5">
        <v>45985.312523148146</v>
      </c>
    </row>
    <row r="129" spans="1:10" x14ac:dyDescent="0.25">
      <c r="A129" s="2">
        <v>114</v>
      </c>
      <c r="B129" s="3">
        <v>45990</v>
      </c>
      <c r="C129" s="1" t="s">
        <v>35</v>
      </c>
      <c r="D129" s="3">
        <v>45990</v>
      </c>
      <c r="E129" s="2">
        <v>0</v>
      </c>
      <c r="F129" s="2">
        <v>233</v>
      </c>
      <c r="G129" s="2">
        <v>0</v>
      </c>
      <c r="H129" s="2">
        <v>0</v>
      </c>
      <c r="I129" s="2">
        <v>0</v>
      </c>
      <c r="J129" s="5">
        <v>45992.312523148146</v>
      </c>
    </row>
    <row r="130" spans="1:10" x14ac:dyDescent="0.25">
      <c r="A130" s="2">
        <v>164</v>
      </c>
      <c r="B130" s="3">
        <v>45997</v>
      </c>
      <c r="C130" s="1" t="s">
        <v>35</v>
      </c>
      <c r="D130" s="3">
        <v>45997</v>
      </c>
      <c r="E130" s="2">
        <v>0</v>
      </c>
      <c r="F130" s="2">
        <v>194</v>
      </c>
      <c r="G130" s="2">
        <v>2</v>
      </c>
      <c r="H130" s="2">
        <v>0</v>
      </c>
      <c r="I130" s="2">
        <v>4.8609999999999999E-3</v>
      </c>
      <c r="J130" s="5">
        <v>45999.312523148146</v>
      </c>
    </row>
    <row r="131" spans="1:10" x14ac:dyDescent="0.25">
      <c r="A131" s="2">
        <v>214</v>
      </c>
      <c r="B131" s="3">
        <v>46003</v>
      </c>
      <c r="C131" s="1" t="s">
        <v>35</v>
      </c>
      <c r="D131" s="3">
        <v>46003</v>
      </c>
      <c r="E131" s="2">
        <v>0</v>
      </c>
      <c r="F131" s="2">
        <v>112</v>
      </c>
      <c r="G131" s="2">
        <v>1</v>
      </c>
      <c r="H131" s="2">
        <v>0</v>
      </c>
      <c r="I131" s="2">
        <v>2.0830000000000002E-3</v>
      </c>
      <c r="J131" s="5">
        <v>46006.312523148146</v>
      </c>
    </row>
    <row r="132" spans="1:10" x14ac:dyDescent="0.25">
      <c r="A132" s="2">
        <v>32</v>
      </c>
      <c r="B132" s="3">
        <v>45977</v>
      </c>
      <c r="C132" s="1" t="s">
        <v>36</v>
      </c>
      <c r="D132" s="3">
        <v>45975</v>
      </c>
      <c r="E132" s="2">
        <v>0</v>
      </c>
      <c r="F132" s="2">
        <v>348</v>
      </c>
      <c r="G132" s="2">
        <v>24</v>
      </c>
      <c r="H132" s="2">
        <v>27</v>
      </c>
      <c r="I132" s="4">
        <v>1.0708329999999999</v>
      </c>
      <c r="J132" s="5">
        <v>45979.454722222225</v>
      </c>
    </row>
    <row r="133" spans="1:10" x14ac:dyDescent="0.25">
      <c r="A133" s="2">
        <v>82</v>
      </c>
      <c r="B133" s="3">
        <v>45983</v>
      </c>
      <c r="C133" s="1" t="s">
        <v>36</v>
      </c>
      <c r="D133" s="3">
        <v>45982</v>
      </c>
      <c r="E133" s="2">
        <v>0</v>
      </c>
      <c r="F133" s="2">
        <v>41</v>
      </c>
      <c r="G133" s="2">
        <v>1</v>
      </c>
      <c r="H133" s="2">
        <v>8</v>
      </c>
      <c r="I133" s="4">
        <v>0.25416699999999998</v>
      </c>
      <c r="J133" s="5">
        <v>45985.312523148146</v>
      </c>
    </row>
    <row r="134" spans="1:10" x14ac:dyDescent="0.25">
      <c r="A134" s="2">
        <v>132</v>
      </c>
      <c r="B134" s="3">
        <v>45990</v>
      </c>
      <c r="C134" s="1" t="s">
        <v>36</v>
      </c>
      <c r="D134" s="3">
        <v>45990</v>
      </c>
      <c r="E134" s="2">
        <v>0</v>
      </c>
      <c r="F134" s="2">
        <v>91</v>
      </c>
      <c r="G134" s="2">
        <v>4</v>
      </c>
      <c r="H134" s="2">
        <v>6</v>
      </c>
      <c r="I134" s="4">
        <v>0.23611099999999999</v>
      </c>
      <c r="J134" s="5">
        <v>45992.312534722223</v>
      </c>
    </row>
    <row r="135" spans="1:10" x14ac:dyDescent="0.25">
      <c r="A135" s="2">
        <v>182</v>
      </c>
      <c r="B135" s="3">
        <v>45997</v>
      </c>
      <c r="C135" s="1" t="s">
        <v>36</v>
      </c>
      <c r="D135" s="3">
        <v>45996</v>
      </c>
      <c r="E135" s="2">
        <v>0</v>
      </c>
      <c r="F135" s="2">
        <v>54</v>
      </c>
      <c r="G135" s="2">
        <v>1</v>
      </c>
      <c r="H135" s="2">
        <v>2</v>
      </c>
      <c r="I135" s="4">
        <v>4.5832999999999999E-2</v>
      </c>
      <c r="J135" s="5">
        <v>45999.312523148146</v>
      </c>
    </row>
    <row r="136" spans="1:10" x14ac:dyDescent="0.25">
      <c r="A136" s="2">
        <v>232</v>
      </c>
      <c r="B136" s="3">
        <v>46003</v>
      </c>
      <c r="C136" s="1" t="s">
        <v>36</v>
      </c>
      <c r="D136" s="3">
        <v>46003</v>
      </c>
      <c r="E136" s="2">
        <v>0</v>
      </c>
      <c r="F136" s="2">
        <v>43</v>
      </c>
      <c r="G136" s="2">
        <v>4</v>
      </c>
      <c r="H136" s="2">
        <v>5</v>
      </c>
      <c r="I136" s="4">
        <v>0.19930600000000001</v>
      </c>
      <c r="J136" s="5">
        <v>46006.312523148146</v>
      </c>
    </row>
    <row r="137" spans="1:10" x14ac:dyDescent="0.25">
      <c r="A137" s="2">
        <v>36</v>
      </c>
      <c r="B137" s="3">
        <v>45977</v>
      </c>
      <c r="C137" s="1" t="s">
        <v>37</v>
      </c>
      <c r="D137" s="3">
        <v>45975</v>
      </c>
      <c r="E137" s="2">
        <v>0</v>
      </c>
      <c r="F137" s="2">
        <v>256</v>
      </c>
      <c r="G137" s="2">
        <v>30</v>
      </c>
      <c r="H137" s="2">
        <v>17</v>
      </c>
      <c r="I137" s="4">
        <v>0.692361</v>
      </c>
      <c r="J137" s="5">
        <v>45979.454722222225</v>
      </c>
    </row>
    <row r="138" spans="1:10" x14ac:dyDescent="0.25">
      <c r="A138" s="2">
        <v>86</v>
      </c>
      <c r="B138" s="3">
        <v>45983</v>
      </c>
      <c r="C138" s="1" t="s">
        <v>37</v>
      </c>
      <c r="D138" s="3">
        <v>45982</v>
      </c>
      <c r="E138" s="2">
        <v>0</v>
      </c>
      <c r="F138" s="2">
        <v>63</v>
      </c>
      <c r="G138" s="2">
        <v>5</v>
      </c>
      <c r="H138" s="2">
        <v>6</v>
      </c>
      <c r="I138" s="4">
        <v>8.4722000000000006E-2</v>
      </c>
      <c r="J138" s="5">
        <v>45985.312523148146</v>
      </c>
    </row>
    <row r="139" spans="1:10" x14ac:dyDescent="0.25">
      <c r="A139" s="2">
        <v>136</v>
      </c>
      <c r="B139" s="3">
        <v>45990</v>
      </c>
      <c r="C139" s="1" t="s">
        <v>37</v>
      </c>
      <c r="D139" s="3">
        <v>45989</v>
      </c>
      <c r="E139" s="2">
        <v>0</v>
      </c>
      <c r="F139" s="2">
        <v>89</v>
      </c>
      <c r="G139" s="2">
        <v>19</v>
      </c>
      <c r="H139" s="2">
        <v>4</v>
      </c>
      <c r="I139" s="4">
        <v>0.18194399999999999</v>
      </c>
      <c r="J139" s="5">
        <v>45992.312534722223</v>
      </c>
    </row>
    <row r="140" spans="1:10" x14ac:dyDescent="0.25">
      <c r="A140" s="2">
        <v>186</v>
      </c>
      <c r="B140" s="3">
        <v>45997</v>
      </c>
      <c r="C140" s="1" t="s">
        <v>37</v>
      </c>
      <c r="D140" s="3">
        <v>45996</v>
      </c>
      <c r="E140" s="2">
        <v>0</v>
      </c>
      <c r="F140" s="2">
        <v>70</v>
      </c>
      <c r="G140" s="2">
        <v>6</v>
      </c>
      <c r="H140" s="2">
        <v>4</v>
      </c>
      <c r="I140" s="4">
        <v>0.11736099999999999</v>
      </c>
      <c r="J140" s="5">
        <v>45999.312523148146</v>
      </c>
    </row>
    <row r="141" spans="1:10" x14ac:dyDescent="0.25">
      <c r="A141" s="2">
        <v>236</v>
      </c>
      <c r="B141" s="3">
        <v>46003</v>
      </c>
      <c r="C141" s="1" t="s">
        <v>37</v>
      </c>
      <c r="D141" s="3">
        <v>46003</v>
      </c>
      <c r="E141" s="2">
        <v>0</v>
      </c>
      <c r="F141" s="2">
        <v>18</v>
      </c>
      <c r="G141" s="2">
        <v>5</v>
      </c>
      <c r="H141" s="2">
        <v>4</v>
      </c>
      <c r="I141" s="4">
        <v>0.16319400000000001</v>
      </c>
      <c r="J141" s="5">
        <v>46006.312523148146</v>
      </c>
    </row>
    <row r="142" spans="1:10" x14ac:dyDescent="0.25">
      <c r="A142" s="2">
        <v>28</v>
      </c>
      <c r="B142" s="3">
        <v>45977</v>
      </c>
      <c r="C142" s="1" t="s">
        <v>38</v>
      </c>
      <c r="D142" s="3">
        <v>45977</v>
      </c>
      <c r="E142" s="2">
        <v>0</v>
      </c>
      <c r="F142" s="2">
        <v>592</v>
      </c>
      <c r="G142" s="2">
        <v>43</v>
      </c>
      <c r="H142" s="2">
        <v>19</v>
      </c>
      <c r="I142" s="4">
        <v>0.79027800000000004</v>
      </c>
      <c r="J142" s="5">
        <v>45979.454722222225</v>
      </c>
    </row>
    <row r="143" spans="1:10" x14ac:dyDescent="0.25">
      <c r="A143" s="2">
        <v>78</v>
      </c>
      <c r="B143" s="3">
        <v>45983</v>
      </c>
      <c r="C143" s="1" t="s">
        <v>38</v>
      </c>
      <c r="D143" s="3">
        <v>45983</v>
      </c>
      <c r="E143" s="2">
        <v>0</v>
      </c>
      <c r="F143" s="2">
        <v>226</v>
      </c>
      <c r="G143" s="2">
        <v>28</v>
      </c>
      <c r="H143" s="2">
        <v>5</v>
      </c>
      <c r="I143" s="4">
        <v>0.309722</v>
      </c>
      <c r="J143" s="5">
        <v>45985.312523148146</v>
      </c>
    </row>
    <row r="144" spans="1:10" x14ac:dyDescent="0.25">
      <c r="A144" s="2">
        <v>128</v>
      </c>
      <c r="B144" s="3">
        <v>45990</v>
      </c>
      <c r="C144" s="1" t="s">
        <v>38</v>
      </c>
      <c r="D144" s="3">
        <v>45990</v>
      </c>
      <c r="E144" s="2">
        <v>1</v>
      </c>
      <c r="F144" s="2">
        <v>182</v>
      </c>
      <c r="G144" s="2">
        <v>17</v>
      </c>
      <c r="H144" s="2">
        <v>11</v>
      </c>
      <c r="I144" s="4">
        <v>0.411111</v>
      </c>
      <c r="J144" s="5">
        <v>45992.312523148146</v>
      </c>
    </row>
    <row r="145" spans="1:10" x14ac:dyDescent="0.25">
      <c r="A145" s="2">
        <v>178</v>
      </c>
      <c r="B145" s="3">
        <v>45997</v>
      </c>
      <c r="C145" s="1" t="s">
        <v>38</v>
      </c>
      <c r="D145" s="3">
        <v>45997</v>
      </c>
      <c r="E145" s="2">
        <v>0</v>
      </c>
      <c r="F145" s="2">
        <v>245</v>
      </c>
      <c r="G145" s="2">
        <v>21</v>
      </c>
      <c r="H145" s="2">
        <v>3</v>
      </c>
      <c r="I145" s="4">
        <v>0.13888900000000001</v>
      </c>
      <c r="J145" s="5">
        <v>45999.312523148146</v>
      </c>
    </row>
    <row r="146" spans="1:10" x14ac:dyDescent="0.25">
      <c r="A146" s="2">
        <v>228</v>
      </c>
      <c r="B146" s="3">
        <v>46003</v>
      </c>
      <c r="C146" s="1" t="s">
        <v>38</v>
      </c>
      <c r="D146" s="3">
        <v>46003</v>
      </c>
      <c r="E146" s="2">
        <v>0</v>
      </c>
      <c r="F146" s="2">
        <v>97</v>
      </c>
      <c r="G146" s="2">
        <v>10</v>
      </c>
      <c r="H146" s="2">
        <v>2</v>
      </c>
      <c r="I146" s="4">
        <v>0.189583</v>
      </c>
      <c r="J146" s="5">
        <v>46006.312523148146</v>
      </c>
    </row>
    <row r="147" spans="1:10" x14ac:dyDescent="0.25">
      <c r="A147" s="2">
        <v>24</v>
      </c>
      <c r="B147" s="3">
        <v>45977</v>
      </c>
      <c r="C147" s="1" t="s">
        <v>39</v>
      </c>
      <c r="D147" s="3">
        <v>45975</v>
      </c>
      <c r="E147" s="2">
        <v>0</v>
      </c>
      <c r="F147" s="2">
        <v>342</v>
      </c>
      <c r="G147" s="2">
        <v>36</v>
      </c>
      <c r="H147" s="2">
        <v>11</v>
      </c>
      <c r="I147" s="4">
        <v>0.54166700000000001</v>
      </c>
      <c r="J147" s="5">
        <v>45979.454722222225</v>
      </c>
    </row>
    <row r="148" spans="1:10" x14ac:dyDescent="0.25">
      <c r="A148" s="2">
        <v>74</v>
      </c>
      <c r="B148" s="3">
        <v>45983</v>
      </c>
      <c r="C148" s="1" t="s">
        <v>39</v>
      </c>
      <c r="D148" s="3">
        <v>45982</v>
      </c>
      <c r="E148" s="2">
        <v>0</v>
      </c>
      <c r="F148" s="2">
        <v>145</v>
      </c>
      <c r="G148" s="2">
        <v>12</v>
      </c>
      <c r="H148" s="2">
        <v>4</v>
      </c>
      <c r="I148" s="4">
        <v>0.25763900000000001</v>
      </c>
      <c r="J148" s="5">
        <v>45985.312523148146</v>
      </c>
    </row>
    <row r="149" spans="1:10" x14ac:dyDescent="0.25">
      <c r="A149" s="2">
        <v>124</v>
      </c>
      <c r="B149" s="3">
        <v>45990</v>
      </c>
      <c r="C149" s="1" t="s">
        <v>39</v>
      </c>
      <c r="D149" s="3">
        <v>45989</v>
      </c>
      <c r="E149" s="2">
        <v>0</v>
      </c>
      <c r="F149" s="2">
        <v>170</v>
      </c>
      <c r="G149" s="2">
        <v>8</v>
      </c>
      <c r="H149" s="2">
        <v>8</v>
      </c>
      <c r="I149" s="4">
        <v>0.34930600000000001</v>
      </c>
      <c r="J149" s="5">
        <v>45992.312523148146</v>
      </c>
    </row>
    <row r="150" spans="1:10" x14ac:dyDescent="0.25">
      <c r="A150" s="2">
        <v>174</v>
      </c>
      <c r="B150" s="3">
        <v>45997</v>
      </c>
      <c r="C150" s="1" t="s">
        <v>39</v>
      </c>
      <c r="D150" s="3">
        <v>45996</v>
      </c>
      <c r="E150" s="2">
        <v>0</v>
      </c>
      <c r="F150" s="2">
        <v>87</v>
      </c>
      <c r="G150" s="2">
        <v>9</v>
      </c>
      <c r="H150" s="2">
        <v>2</v>
      </c>
      <c r="I150" s="4">
        <v>0.14097199999999999</v>
      </c>
      <c r="J150" s="5">
        <v>45999.312523148146</v>
      </c>
    </row>
    <row r="151" spans="1:10" x14ac:dyDescent="0.25">
      <c r="A151" s="2">
        <v>224</v>
      </c>
      <c r="B151" s="3">
        <v>46003</v>
      </c>
      <c r="C151" s="1" t="s">
        <v>39</v>
      </c>
      <c r="D151" s="3">
        <v>46003</v>
      </c>
      <c r="E151" s="2">
        <v>0</v>
      </c>
      <c r="F151" s="2">
        <v>47</v>
      </c>
      <c r="G151" s="2">
        <v>8</v>
      </c>
      <c r="H151" s="2">
        <v>1</v>
      </c>
      <c r="I151" s="4">
        <v>0.190972</v>
      </c>
      <c r="J151" s="5">
        <v>46006.312523148146</v>
      </c>
    </row>
    <row r="152" spans="1:10" x14ac:dyDescent="0.25">
      <c r="A152" s="2">
        <v>47</v>
      </c>
      <c r="B152" s="3">
        <v>45977</v>
      </c>
      <c r="C152" s="1" t="s">
        <v>40</v>
      </c>
      <c r="D152" s="3">
        <v>45977</v>
      </c>
      <c r="E152" s="2">
        <v>0</v>
      </c>
      <c r="F152" s="2">
        <v>1576</v>
      </c>
      <c r="G152" s="2">
        <v>13</v>
      </c>
      <c r="H152" s="2">
        <v>8</v>
      </c>
      <c r="I152" s="4">
        <v>0.34722199999999998</v>
      </c>
      <c r="J152" s="5">
        <v>45979.454722222225</v>
      </c>
    </row>
    <row r="153" spans="1:10" x14ac:dyDescent="0.25">
      <c r="A153" s="2">
        <v>97</v>
      </c>
      <c r="B153" s="3">
        <v>45983</v>
      </c>
      <c r="C153" s="1" t="s">
        <v>40</v>
      </c>
      <c r="D153" s="3">
        <v>45983</v>
      </c>
      <c r="E153" s="2">
        <v>0</v>
      </c>
      <c r="F153" s="2">
        <v>260</v>
      </c>
      <c r="G153" s="2">
        <v>2</v>
      </c>
      <c r="H153" s="2">
        <v>3</v>
      </c>
      <c r="I153" s="4">
        <v>7.7778E-2</v>
      </c>
      <c r="J153" s="5">
        <v>45985.312523148146</v>
      </c>
    </row>
    <row r="154" spans="1:10" x14ac:dyDescent="0.25">
      <c r="A154" s="2">
        <v>147</v>
      </c>
      <c r="B154" s="3">
        <v>45990</v>
      </c>
      <c r="C154" s="1" t="s">
        <v>40</v>
      </c>
      <c r="D154" s="3">
        <v>45990</v>
      </c>
      <c r="E154" s="2">
        <v>0</v>
      </c>
      <c r="F154" s="2">
        <v>279</v>
      </c>
      <c r="G154" s="2">
        <v>10</v>
      </c>
      <c r="H154" s="2">
        <v>1</v>
      </c>
      <c r="I154" s="4">
        <v>0.11597200000000001</v>
      </c>
      <c r="J154" s="5">
        <v>45992.312534722223</v>
      </c>
    </row>
    <row r="155" spans="1:10" x14ac:dyDescent="0.25">
      <c r="A155" s="2">
        <v>197</v>
      </c>
      <c r="B155" s="3">
        <v>45997</v>
      </c>
      <c r="C155" s="1" t="s">
        <v>40</v>
      </c>
      <c r="D155" s="3">
        <v>45997</v>
      </c>
      <c r="E155" s="2">
        <v>0</v>
      </c>
      <c r="F155" s="2">
        <v>400</v>
      </c>
      <c r="G155" s="2">
        <v>4</v>
      </c>
      <c r="H155" s="2">
        <v>0</v>
      </c>
      <c r="I155" s="4">
        <v>7.1527999999999994E-2</v>
      </c>
      <c r="J155" s="5">
        <v>45999.312523148146</v>
      </c>
    </row>
    <row r="156" spans="1:10" x14ac:dyDescent="0.25">
      <c r="A156" s="2">
        <v>247</v>
      </c>
      <c r="B156" s="3">
        <v>46003</v>
      </c>
      <c r="C156" s="1" t="s">
        <v>40</v>
      </c>
      <c r="D156" s="3">
        <v>46003</v>
      </c>
      <c r="E156" s="2">
        <v>0</v>
      </c>
      <c r="F156" s="2">
        <v>178</v>
      </c>
      <c r="G156" s="2">
        <v>3</v>
      </c>
      <c r="H156" s="2">
        <v>2</v>
      </c>
      <c r="I156" s="4">
        <v>8.9582999999999996E-2</v>
      </c>
      <c r="J156" s="5">
        <v>46006.312523148146</v>
      </c>
    </row>
    <row r="157" spans="1:10" x14ac:dyDescent="0.25">
      <c r="A157" s="2">
        <v>1</v>
      </c>
      <c r="B157" s="3">
        <v>45977</v>
      </c>
      <c r="C157" s="1" t="s">
        <v>41</v>
      </c>
      <c r="D157" s="3">
        <v>45975</v>
      </c>
      <c r="E157" s="2">
        <v>0</v>
      </c>
      <c r="F157" s="2">
        <v>1060</v>
      </c>
      <c r="G157" s="2">
        <v>39</v>
      </c>
      <c r="H157" s="2">
        <v>10</v>
      </c>
      <c r="I157" s="4">
        <v>1.218056</v>
      </c>
      <c r="J157" s="5">
        <v>45979.454722222225</v>
      </c>
    </row>
    <row r="158" spans="1:10" x14ac:dyDescent="0.25">
      <c r="A158" s="2">
        <v>51</v>
      </c>
      <c r="B158" s="3">
        <v>45983</v>
      </c>
      <c r="C158" s="1" t="s">
        <v>41</v>
      </c>
      <c r="D158" s="3">
        <v>45983</v>
      </c>
      <c r="E158" s="2">
        <v>0</v>
      </c>
      <c r="F158" s="2">
        <v>245</v>
      </c>
      <c r="G158" s="2">
        <v>9</v>
      </c>
      <c r="H158" s="2">
        <v>1</v>
      </c>
      <c r="I158" s="4">
        <v>0.152778</v>
      </c>
      <c r="J158" s="5">
        <v>45985.312523148146</v>
      </c>
    </row>
    <row r="159" spans="1:10" x14ac:dyDescent="0.25">
      <c r="A159" s="2">
        <v>101</v>
      </c>
      <c r="B159" s="3">
        <v>45990</v>
      </c>
      <c r="C159" s="1" t="s">
        <v>41</v>
      </c>
      <c r="D159" s="3">
        <v>45990</v>
      </c>
      <c r="E159" s="2">
        <v>0</v>
      </c>
      <c r="F159" s="2">
        <v>488</v>
      </c>
      <c r="G159" s="2">
        <v>6</v>
      </c>
      <c r="H159" s="2">
        <v>2</v>
      </c>
      <c r="I159" s="4">
        <v>0.152778</v>
      </c>
      <c r="J159" s="5">
        <v>45992.312523148146</v>
      </c>
    </row>
    <row r="160" spans="1:10" x14ac:dyDescent="0.25">
      <c r="A160" s="2">
        <v>151</v>
      </c>
      <c r="B160" s="3">
        <v>45997</v>
      </c>
      <c r="C160" s="1" t="s">
        <v>41</v>
      </c>
      <c r="D160" s="3">
        <v>45997</v>
      </c>
      <c r="E160" s="2">
        <v>0</v>
      </c>
      <c r="F160" s="2">
        <v>284</v>
      </c>
      <c r="G160" s="2">
        <v>1</v>
      </c>
      <c r="H160" s="2">
        <v>3</v>
      </c>
      <c r="I160" s="4">
        <v>2.8472000000000001E-2</v>
      </c>
      <c r="J160" s="5">
        <v>45999.312523148146</v>
      </c>
    </row>
    <row r="161" spans="1:10" x14ac:dyDescent="0.25">
      <c r="A161" s="2">
        <v>201</v>
      </c>
      <c r="B161" s="3">
        <v>46003</v>
      </c>
      <c r="C161" s="1" t="s">
        <v>41</v>
      </c>
      <c r="D161" s="3">
        <v>46003</v>
      </c>
      <c r="E161" s="2">
        <v>0</v>
      </c>
      <c r="F161" s="2">
        <v>258</v>
      </c>
      <c r="G161" s="2">
        <v>3</v>
      </c>
      <c r="H161" s="2">
        <v>0</v>
      </c>
      <c r="I161" s="4">
        <v>4.6528E-2</v>
      </c>
      <c r="J161" s="5">
        <v>46006.312523148146</v>
      </c>
    </row>
    <row r="162" spans="1:10" x14ac:dyDescent="0.25">
      <c r="A162" s="2">
        <v>40</v>
      </c>
      <c r="B162" s="3">
        <v>45977</v>
      </c>
      <c r="C162" s="1" t="s">
        <v>42</v>
      </c>
      <c r="D162" s="3">
        <v>45975</v>
      </c>
      <c r="E162" s="2">
        <v>0</v>
      </c>
      <c r="F162" s="2">
        <v>185</v>
      </c>
      <c r="G162" s="2">
        <v>36</v>
      </c>
      <c r="H162" s="2">
        <v>20</v>
      </c>
      <c r="I162" s="4">
        <v>0.98888900000000002</v>
      </c>
      <c r="J162" s="5">
        <v>45979.454722222225</v>
      </c>
    </row>
    <row r="163" spans="1:10" x14ac:dyDescent="0.25">
      <c r="A163" s="2">
        <v>90</v>
      </c>
      <c r="B163" s="3">
        <v>45983</v>
      </c>
      <c r="C163" s="1" t="s">
        <v>42</v>
      </c>
      <c r="D163" s="3">
        <v>45982</v>
      </c>
      <c r="E163" s="2">
        <v>0</v>
      </c>
      <c r="F163" s="2">
        <v>50</v>
      </c>
      <c r="G163" s="2">
        <v>9</v>
      </c>
      <c r="H163" s="2">
        <v>5</v>
      </c>
      <c r="I163" s="4">
        <v>0.37916699999999998</v>
      </c>
      <c r="J163" s="5">
        <v>45985.312523148146</v>
      </c>
    </row>
    <row r="164" spans="1:10" x14ac:dyDescent="0.25">
      <c r="A164" s="2">
        <v>140</v>
      </c>
      <c r="B164" s="3">
        <v>45990</v>
      </c>
      <c r="C164" s="1" t="s">
        <v>42</v>
      </c>
      <c r="D164" s="3">
        <v>45989</v>
      </c>
      <c r="E164" s="2">
        <v>0</v>
      </c>
      <c r="F164" s="2">
        <v>53</v>
      </c>
      <c r="G164" s="2">
        <v>8</v>
      </c>
      <c r="H164" s="2">
        <v>5</v>
      </c>
      <c r="I164" s="4">
        <v>0.30069400000000002</v>
      </c>
      <c r="J164" s="5">
        <v>45992.312534722223</v>
      </c>
    </row>
    <row r="165" spans="1:10" x14ac:dyDescent="0.25">
      <c r="A165" s="2">
        <v>190</v>
      </c>
      <c r="B165" s="3">
        <v>45997</v>
      </c>
      <c r="C165" s="1" t="s">
        <v>42</v>
      </c>
      <c r="D165" s="3">
        <v>45996</v>
      </c>
      <c r="E165" s="2">
        <v>0</v>
      </c>
      <c r="F165" s="2">
        <v>78</v>
      </c>
      <c r="G165" s="2">
        <v>18</v>
      </c>
      <c r="H165" s="2">
        <v>5</v>
      </c>
      <c r="I165" s="4">
        <v>0.30694399999999999</v>
      </c>
      <c r="J165" s="5">
        <v>45999.312523148146</v>
      </c>
    </row>
    <row r="166" spans="1:10" x14ac:dyDescent="0.25">
      <c r="A166" s="2">
        <v>240</v>
      </c>
      <c r="B166" s="3">
        <v>46003</v>
      </c>
      <c r="C166" s="1" t="s">
        <v>42</v>
      </c>
      <c r="D166" s="3">
        <v>46003</v>
      </c>
      <c r="E166" s="2">
        <v>0</v>
      </c>
      <c r="F166" s="2">
        <v>80</v>
      </c>
      <c r="G166" s="2">
        <v>6</v>
      </c>
      <c r="H166" s="2">
        <v>7</v>
      </c>
      <c r="I166" s="4">
        <v>0.26250000000000001</v>
      </c>
      <c r="J166" s="5">
        <v>46006.312523148146</v>
      </c>
    </row>
    <row r="167" spans="1:10" x14ac:dyDescent="0.25">
      <c r="A167" s="2">
        <v>8</v>
      </c>
      <c r="B167" s="3">
        <v>45977</v>
      </c>
      <c r="C167" s="1" t="s">
        <v>43</v>
      </c>
      <c r="D167" s="3">
        <v>45975</v>
      </c>
      <c r="E167" s="2">
        <v>0</v>
      </c>
      <c r="F167" s="2">
        <v>1</v>
      </c>
      <c r="G167" s="2">
        <v>0</v>
      </c>
      <c r="H167" s="2">
        <v>5</v>
      </c>
      <c r="I167" s="4">
        <v>0.182639</v>
      </c>
      <c r="J167" s="5">
        <v>45979.454722222225</v>
      </c>
    </row>
    <row r="168" spans="1:10" x14ac:dyDescent="0.25">
      <c r="A168" s="2">
        <v>58</v>
      </c>
      <c r="B168" s="3">
        <v>45983</v>
      </c>
      <c r="C168" s="1" t="s">
        <v>43</v>
      </c>
      <c r="D168" s="3">
        <v>45982</v>
      </c>
      <c r="E168" s="2">
        <v>0</v>
      </c>
      <c r="F168" s="2">
        <v>0</v>
      </c>
      <c r="G168" s="2">
        <v>0</v>
      </c>
      <c r="H168" s="2">
        <v>4</v>
      </c>
      <c r="I168" s="4">
        <v>9.7222000000000003E-2</v>
      </c>
      <c r="J168" s="5">
        <v>45985.312523148146</v>
      </c>
    </row>
    <row r="169" spans="1:10" x14ac:dyDescent="0.25">
      <c r="A169" s="2">
        <v>108</v>
      </c>
      <c r="B169" s="3">
        <v>45990</v>
      </c>
      <c r="C169" s="1" t="s">
        <v>43</v>
      </c>
      <c r="D169" s="3">
        <v>45986</v>
      </c>
      <c r="E169" s="2">
        <v>0</v>
      </c>
      <c r="F169" s="2">
        <v>0</v>
      </c>
      <c r="G169" s="2">
        <v>0</v>
      </c>
      <c r="H169" s="2">
        <v>1</v>
      </c>
      <c r="I169" s="4">
        <v>1.4583E-2</v>
      </c>
      <c r="J169" s="5">
        <v>45992.312523148146</v>
      </c>
    </row>
    <row r="170" spans="1:10" x14ac:dyDescent="0.25">
      <c r="A170" s="2">
        <v>158</v>
      </c>
      <c r="B170" s="3">
        <v>45997</v>
      </c>
      <c r="C170" s="1" t="s">
        <v>43</v>
      </c>
      <c r="D170" s="3">
        <v>45992</v>
      </c>
      <c r="E170" s="2">
        <v>0</v>
      </c>
      <c r="F170" s="2">
        <v>0</v>
      </c>
      <c r="G170" s="2">
        <v>0</v>
      </c>
      <c r="H170" s="2">
        <v>1</v>
      </c>
      <c r="I170" s="4">
        <v>1.7361000000000001E-2</v>
      </c>
      <c r="J170" s="5">
        <v>45999.312523148146</v>
      </c>
    </row>
    <row r="171" spans="1:10" x14ac:dyDescent="0.25">
      <c r="A171" s="2">
        <v>208</v>
      </c>
      <c r="B171" s="3">
        <v>46003</v>
      </c>
      <c r="C171" s="1" t="s">
        <v>43</v>
      </c>
      <c r="D171" s="3">
        <v>45992</v>
      </c>
      <c r="E171" s="2">
        <v>0</v>
      </c>
      <c r="F171" s="2">
        <v>0</v>
      </c>
      <c r="G171" s="2">
        <v>0</v>
      </c>
      <c r="H171" s="2">
        <v>0</v>
      </c>
      <c r="I171" s="2">
        <v>0</v>
      </c>
      <c r="J171" s="5">
        <v>46006.312523148146</v>
      </c>
    </row>
    <row r="172" spans="1:10" x14ac:dyDescent="0.25">
      <c r="A172" s="2">
        <v>10</v>
      </c>
      <c r="B172" s="3">
        <v>45977</v>
      </c>
      <c r="C172" s="1" t="s">
        <v>44</v>
      </c>
      <c r="D172" s="3">
        <v>45976</v>
      </c>
      <c r="E172" s="2">
        <v>0</v>
      </c>
      <c r="F172" s="2">
        <v>1954</v>
      </c>
      <c r="G172" s="2">
        <v>58</v>
      </c>
      <c r="H172" s="2">
        <v>15</v>
      </c>
      <c r="I172" s="4">
        <v>0.60763900000000004</v>
      </c>
      <c r="J172" s="5">
        <v>45979.454722222225</v>
      </c>
    </row>
    <row r="173" spans="1:10" x14ac:dyDescent="0.25">
      <c r="A173" s="2">
        <v>60</v>
      </c>
      <c r="B173" s="3">
        <v>45983</v>
      </c>
      <c r="C173" s="1" t="s">
        <v>44</v>
      </c>
      <c r="D173" s="3">
        <v>45983</v>
      </c>
      <c r="E173" s="2">
        <v>0</v>
      </c>
      <c r="F173" s="2">
        <v>493</v>
      </c>
      <c r="G173" s="2">
        <v>14</v>
      </c>
      <c r="H173" s="2">
        <v>4</v>
      </c>
      <c r="I173" s="4">
        <v>7.3610999999999996E-2</v>
      </c>
      <c r="J173" s="5">
        <v>45985.312523148146</v>
      </c>
    </row>
    <row r="174" spans="1:10" x14ac:dyDescent="0.25">
      <c r="A174" s="2">
        <v>110</v>
      </c>
      <c r="B174" s="3">
        <v>45990</v>
      </c>
      <c r="C174" s="1" t="s">
        <v>44</v>
      </c>
      <c r="D174" s="3">
        <v>45990</v>
      </c>
      <c r="E174" s="2">
        <v>0</v>
      </c>
      <c r="F174" s="2">
        <v>549</v>
      </c>
      <c r="G174" s="2">
        <v>24</v>
      </c>
      <c r="H174" s="2">
        <v>8</v>
      </c>
      <c r="I174" s="4">
        <v>0.19861100000000001</v>
      </c>
      <c r="J174" s="5">
        <v>45992.312523148146</v>
      </c>
    </row>
    <row r="175" spans="1:10" x14ac:dyDescent="0.25">
      <c r="A175" s="2">
        <v>160</v>
      </c>
      <c r="B175" s="3">
        <v>45997</v>
      </c>
      <c r="C175" s="1" t="s">
        <v>44</v>
      </c>
      <c r="D175" s="3">
        <v>45997</v>
      </c>
      <c r="E175" s="2">
        <v>0</v>
      </c>
      <c r="F175" s="2">
        <v>311</v>
      </c>
      <c r="G175" s="2">
        <v>22</v>
      </c>
      <c r="H175" s="2">
        <v>4</v>
      </c>
      <c r="I175" s="4">
        <v>0.11527800000000001</v>
      </c>
      <c r="J175" s="5">
        <v>45999.312523148146</v>
      </c>
    </row>
    <row r="176" spans="1:10" x14ac:dyDescent="0.25">
      <c r="A176" s="2">
        <v>210</v>
      </c>
      <c r="B176" s="3">
        <v>46003</v>
      </c>
      <c r="C176" s="1" t="s">
        <v>44</v>
      </c>
      <c r="D176" s="3">
        <v>46003</v>
      </c>
      <c r="E176" s="2">
        <v>0</v>
      </c>
      <c r="F176" s="2">
        <v>305</v>
      </c>
      <c r="G176" s="2">
        <v>18</v>
      </c>
      <c r="H176" s="2">
        <v>4</v>
      </c>
      <c r="I176" s="4">
        <v>0.151389</v>
      </c>
      <c r="J176" s="5">
        <v>46006.312523148146</v>
      </c>
    </row>
    <row r="177" spans="1:10" x14ac:dyDescent="0.25">
      <c r="A177" s="2">
        <v>25</v>
      </c>
      <c r="B177" s="3">
        <v>45977</v>
      </c>
      <c r="C177" s="1" t="s">
        <v>45</v>
      </c>
      <c r="D177" s="3">
        <v>45976</v>
      </c>
      <c r="E177" s="2">
        <v>0</v>
      </c>
      <c r="F177" s="2">
        <v>1253</v>
      </c>
      <c r="G177" s="2">
        <v>76</v>
      </c>
      <c r="H177" s="2">
        <v>34</v>
      </c>
      <c r="I177" s="4">
        <v>1.579167</v>
      </c>
      <c r="J177" s="5">
        <v>45979.454722222225</v>
      </c>
    </row>
    <row r="178" spans="1:10" x14ac:dyDescent="0.25">
      <c r="A178" s="2">
        <v>75</v>
      </c>
      <c r="B178" s="3">
        <v>45983</v>
      </c>
      <c r="C178" s="1" t="s">
        <v>45</v>
      </c>
      <c r="D178" s="3">
        <v>45983</v>
      </c>
      <c r="E178" s="2">
        <v>0</v>
      </c>
      <c r="F178" s="2">
        <v>287</v>
      </c>
      <c r="G178" s="2">
        <v>10</v>
      </c>
      <c r="H178" s="2">
        <v>7</v>
      </c>
      <c r="I178" s="4">
        <v>0.18055599999999999</v>
      </c>
      <c r="J178" s="5">
        <v>45985.312523148146</v>
      </c>
    </row>
    <row r="179" spans="1:10" x14ac:dyDescent="0.25">
      <c r="A179" s="2">
        <v>125</v>
      </c>
      <c r="B179" s="3">
        <v>45990</v>
      </c>
      <c r="C179" s="1" t="s">
        <v>45</v>
      </c>
      <c r="D179" s="3">
        <v>45990</v>
      </c>
      <c r="E179" s="2">
        <v>0</v>
      </c>
      <c r="F179" s="2">
        <v>148</v>
      </c>
      <c r="G179" s="2">
        <v>13</v>
      </c>
      <c r="H179" s="2">
        <v>8</v>
      </c>
      <c r="I179" s="4">
        <v>0.190278</v>
      </c>
      <c r="J179" s="5">
        <v>45992.312523148146</v>
      </c>
    </row>
    <row r="180" spans="1:10" x14ac:dyDescent="0.25">
      <c r="A180" s="2">
        <v>175</v>
      </c>
      <c r="B180" s="3">
        <v>45997</v>
      </c>
      <c r="C180" s="1" t="s">
        <v>45</v>
      </c>
      <c r="D180" s="3">
        <v>45996</v>
      </c>
      <c r="E180" s="2">
        <v>0</v>
      </c>
      <c r="F180" s="2">
        <v>247</v>
      </c>
      <c r="G180" s="2">
        <v>11</v>
      </c>
      <c r="H180" s="2">
        <v>8</v>
      </c>
      <c r="I180" s="4">
        <v>0.247917</v>
      </c>
      <c r="J180" s="5">
        <v>45999.312523148146</v>
      </c>
    </row>
    <row r="181" spans="1:10" x14ac:dyDescent="0.25">
      <c r="A181" s="2">
        <v>225</v>
      </c>
      <c r="B181" s="3">
        <v>46003</v>
      </c>
      <c r="C181" s="1" t="s">
        <v>45</v>
      </c>
      <c r="D181" s="3">
        <v>46003</v>
      </c>
      <c r="E181" s="2">
        <v>0</v>
      </c>
      <c r="F181" s="2">
        <v>245</v>
      </c>
      <c r="G181" s="2">
        <v>11</v>
      </c>
      <c r="H181" s="2">
        <v>2</v>
      </c>
      <c r="I181" s="4">
        <v>9.5139000000000001E-2</v>
      </c>
      <c r="J181" s="5">
        <v>46006.312523148146</v>
      </c>
    </row>
    <row r="182" spans="1:10" x14ac:dyDescent="0.25">
      <c r="A182" s="2">
        <v>48</v>
      </c>
      <c r="B182" s="3">
        <v>45977</v>
      </c>
      <c r="C182" s="1" t="s">
        <v>46</v>
      </c>
      <c r="D182" s="3">
        <v>45977</v>
      </c>
      <c r="E182" s="2">
        <v>0</v>
      </c>
      <c r="F182" s="2">
        <v>531</v>
      </c>
      <c r="G182" s="2">
        <v>57</v>
      </c>
      <c r="H182" s="2">
        <v>8</v>
      </c>
      <c r="I182" s="4">
        <v>0.96944399999999997</v>
      </c>
      <c r="J182" s="5">
        <v>45979.454722222225</v>
      </c>
    </row>
    <row r="183" spans="1:10" x14ac:dyDescent="0.25">
      <c r="A183" s="2">
        <v>98</v>
      </c>
      <c r="B183" s="3">
        <v>45983</v>
      </c>
      <c r="C183" s="1" t="s">
        <v>46</v>
      </c>
      <c r="D183" s="3">
        <v>45983</v>
      </c>
      <c r="E183" s="2">
        <v>0</v>
      </c>
      <c r="F183" s="2">
        <v>166</v>
      </c>
      <c r="G183" s="2">
        <v>16</v>
      </c>
      <c r="H183" s="2">
        <v>3</v>
      </c>
      <c r="I183" s="4">
        <v>0.24166699999999999</v>
      </c>
      <c r="J183" s="5">
        <v>45985.312523148146</v>
      </c>
    </row>
    <row r="184" spans="1:10" x14ac:dyDescent="0.25">
      <c r="A184" s="2">
        <v>148</v>
      </c>
      <c r="B184" s="3">
        <v>45990</v>
      </c>
      <c r="C184" s="1" t="s">
        <v>46</v>
      </c>
      <c r="D184" s="3">
        <v>45990</v>
      </c>
      <c r="E184" s="2">
        <v>0</v>
      </c>
      <c r="F184" s="2">
        <v>153</v>
      </c>
      <c r="G184" s="2">
        <v>12</v>
      </c>
      <c r="H184" s="2">
        <v>1</v>
      </c>
      <c r="I184" s="4">
        <v>0.159028</v>
      </c>
      <c r="J184" s="5">
        <v>45992.312534722223</v>
      </c>
    </row>
    <row r="185" spans="1:10" x14ac:dyDescent="0.25">
      <c r="A185" s="2">
        <v>198</v>
      </c>
      <c r="B185" s="3">
        <v>45997</v>
      </c>
      <c r="C185" s="1" t="s">
        <v>46</v>
      </c>
      <c r="D185" s="3">
        <v>45997</v>
      </c>
      <c r="E185" s="2">
        <v>0</v>
      </c>
      <c r="F185" s="2">
        <v>113</v>
      </c>
      <c r="G185" s="2">
        <v>12</v>
      </c>
      <c r="H185" s="2">
        <v>3</v>
      </c>
      <c r="I185" s="4">
        <v>0.155556</v>
      </c>
      <c r="J185" s="5">
        <v>45999.312523148146</v>
      </c>
    </row>
    <row r="186" spans="1:10" x14ac:dyDescent="0.25">
      <c r="A186" s="2">
        <v>248</v>
      </c>
      <c r="B186" s="3">
        <v>46003</v>
      </c>
      <c r="C186" s="1" t="s">
        <v>46</v>
      </c>
      <c r="D186" s="3">
        <v>46003</v>
      </c>
      <c r="E186" s="2">
        <v>0</v>
      </c>
      <c r="F186" s="2">
        <v>106</v>
      </c>
      <c r="G186" s="2">
        <v>10</v>
      </c>
      <c r="H186" s="2">
        <v>0</v>
      </c>
      <c r="I186" s="4">
        <v>0.125</v>
      </c>
      <c r="J186" s="5">
        <v>46006.312523148146</v>
      </c>
    </row>
    <row r="187" spans="1:10" x14ac:dyDescent="0.25">
      <c r="A187" s="2">
        <v>12</v>
      </c>
      <c r="B187" s="3">
        <v>45977</v>
      </c>
      <c r="C187" s="1" t="s">
        <v>47</v>
      </c>
      <c r="D187" s="3">
        <v>45977</v>
      </c>
      <c r="E187" s="2">
        <v>0</v>
      </c>
      <c r="F187" s="2">
        <v>2192</v>
      </c>
      <c r="G187" s="2">
        <v>50</v>
      </c>
      <c r="H187" s="2">
        <v>7</v>
      </c>
      <c r="I187" s="4">
        <v>0.53125</v>
      </c>
      <c r="J187" s="5">
        <v>45979.454722222225</v>
      </c>
    </row>
    <row r="188" spans="1:10" x14ac:dyDescent="0.25">
      <c r="A188" s="2">
        <v>62</v>
      </c>
      <c r="B188" s="3">
        <v>45983</v>
      </c>
      <c r="C188" s="1" t="s">
        <v>47</v>
      </c>
      <c r="D188" s="3">
        <v>45982</v>
      </c>
      <c r="E188" s="2">
        <v>0</v>
      </c>
      <c r="F188" s="2">
        <v>533</v>
      </c>
      <c r="G188" s="2">
        <v>4</v>
      </c>
      <c r="H188" s="2">
        <v>3</v>
      </c>
      <c r="I188" s="4">
        <v>8.0556000000000003E-2</v>
      </c>
      <c r="J188" s="5">
        <v>45985.312523148146</v>
      </c>
    </row>
    <row r="189" spans="1:10" x14ac:dyDescent="0.25">
      <c r="A189" s="2">
        <v>112</v>
      </c>
      <c r="B189" s="3">
        <v>45990</v>
      </c>
      <c r="C189" s="1" t="s">
        <v>47</v>
      </c>
      <c r="D189" s="3">
        <v>45989</v>
      </c>
      <c r="E189" s="2">
        <v>0</v>
      </c>
      <c r="F189" s="2">
        <v>557</v>
      </c>
      <c r="G189" s="2">
        <v>10</v>
      </c>
      <c r="H189" s="2">
        <v>2</v>
      </c>
      <c r="I189" s="4">
        <v>7.4305999999999997E-2</v>
      </c>
      <c r="J189" s="5">
        <v>45992.312523148146</v>
      </c>
    </row>
    <row r="190" spans="1:10" x14ac:dyDescent="0.25">
      <c r="A190" s="2">
        <v>162</v>
      </c>
      <c r="B190" s="3">
        <v>45997</v>
      </c>
      <c r="C190" s="1" t="s">
        <v>47</v>
      </c>
      <c r="D190" s="3">
        <v>45996</v>
      </c>
      <c r="E190" s="2">
        <v>0</v>
      </c>
      <c r="F190" s="2">
        <v>583</v>
      </c>
      <c r="G190" s="2">
        <v>3</v>
      </c>
      <c r="H190" s="2">
        <v>2</v>
      </c>
      <c r="I190" s="4">
        <v>2.2917E-2</v>
      </c>
      <c r="J190" s="5">
        <v>45999.312523148146</v>
      </c>
    </row>
    <row r="191" spans="1:10" x14ac:dyDescent="0.25">
      <c r="A191" s="2">
        <v>212</v>
      </c>
      <c r="B191" s="3">
        <v>46003</v>
      </c>
      <c r="C191" s="1" t="s">
        <v>47</v>
      </c>
      <c r="D191" s="3">
        <v>46003</v>
      </c>
      <c r="E191" s="2">
        <v>0</v>
      </c>
      <c r="F191" s="2">
        <v>195</v>
      </c>
      <c r="G191" s="2">
        <v>4</v>
      </c>
      <c r="H191" s="2">
        <v>0</v>
      </c>
      <c r="I191" s="4">
        <v>2.7778000000000001E-2</v>
      </c>
      <c r="J191" s="5">
        <v>46006.312523148146</v>
      </c>
    </row>
    <row r="192" spans="1:10" x14ac:dyDescent="0.25">
      <c r="A192" s="2">
        <v>38</v>
      </c>
      <c r="B192" s="3">
        <v>45977</v>
      </c>
      <c r="C192" s="1" t="s">
        <v>48</v>
      </c>
      <c r="E192" s="2">
        <v>0</v>
      </c>
      <c r="F192" s="2">
        <v>0</v>
      </c>
      <c r="G192" s="2">
        <v>0</v>
      </c>
      <c r="H192" s="2">
        <v>0</v>
      </c>
      <c r="I192" s="2">
        <v>0</v>
      </c>
      <c r="J192" s="5">
        <v>45979.454722222225</v>
      </c>
    </row>
    <row r="193" spans="1:10" x14ac:dyDescent="0.25">
      <c r="A193" s="2">
        <v>88</v>
      </c>
      <c r="B193" s="3">
        <v>45983</v>
      </c>
      <c r="C193" s="1" t="s">
        <v>48</v>
      </c>
      <c r="E193" s="2">
        <v>0</v>
      </c>
      <c r="F193" s="2">
        <v>0</v>
      </c>
      <c r="G193" s="2">
        <v>0</v>
      </c>
      <c r="H193" s="2">
        <v>0</v>
      </c>
      <c r="I193" s="2">
        <v>0</v>
      </c>
      <c r="J193" s="5">
        <v>45985.312523148146</v>
      </c>
    </row>
    <row r="194" spans="1:10" x14ac:dyDescent="0.25">
      <c r="A194" s="2">
        <v>138</v>
      </c>
      <c r="B194" s="3">
        <v>45990</v>
      </c>
      <c r="C194" s="1" t="s">
        <v>48</v>
      </c>
      <c r="E194" s="2">
        <v>0</v>
      </c>
      <c r="F194" s="2">
        <v>0</v>
      </c>
      <c r="G194" s="2">
        <v>0</v>
      </c>
      <c r="H194" s="2">
        <v>0</v>
      </c>
      <c r="I194" s="2">
        <v>0</v>
      </c>
      <c r="J194" s="5">
        <v>45992.312534722223</v>
      </c>
    </row>
    <row r="195" spans="1:10" x14ac:dyDescent="0.25">
      <c r="A195" s="2">
        <v>188</v>
      </c>
      <c r="B195" s="3">
        <v>45997</v>
      </c>
      <c r="C195" s="1" t="s">
        <v>48</v>
      </c>
      <c r="E195" s="2">
        <v>0</v>
      </c>
      <c r="F195" s="2">
        <v>0</v>
      </c>
      <c r="G195" s="2">
        <v>0</v>
      </c>
      <c r="H195" s="2">
        <v>0</v>
      </c>
      <c r="I195" s="2">
        <v>0</v>
      </c>
      <c r="J195" s="5">
        <v>45999.312523148146</v>
      </c>
    </row>
    <row r="196" spans="1:10" x14ac:dyDescent="0.25">
      <c r="A196" s="2">
        <v>238</v>
      </c>
      <c r="B196" s="3">
        <v>46003</v>
      </c>
      <c r="C196" s="1" t="s">
        <v>48</v>
      </c>
      <c r="E196" s="2">
        <v>0</v>
      </c>
      <c r="F196" s="2">
        <v>0</v>
      </c>
      <c r="G196" s="2">
        <v>0</v>
      </c>
      <c r="H196" s="2">
        <v>0</v>
      </c>
      <c r="I196" s="2">
        <v>0</v>
      </c>
      <c r="J196" s="5">
        <v>46006.312523148146</v>
      </c>
    </row>
    <row r="197" spans="1:10" x14ac:dyDescent="0.25">
      <c r="A197" s="2">
        <v>37</v>
      </c>
      <c r="B197" s="3">
        <v>45977</v>
      </c>
      <c r="C197" s="1" t="s">
        <v>49</v>
      </c>
      <c r="D197" s="3">
        <v>45975</v>
      </c>
      <c r="E197" s="2">
        <v>0</v>
      </c>
      <c r="F197" s="2">
        <v>216</v>
      </c>
      <c r="G197" s="2">
        <v>16</v>
      </c>
      <c r="H197" s="2">
        <v>12</v>
      </c>
      <c r="I197" s="4">
        <v>0.31180600000000003</v>
      </c>
      <c r="J197" s="5">
        <v>45979.454722222225</v>
      </c>
    </row>
    <row r="198" spans="1:10" x14ac:dyDescent="0.25">
      <c r="A198" s="2">
        <v>87</v>
      </c>
      <c r="B198" s="3">
        <v>45983</v>
      </c>
      <c r="C198" s="1" t="s">
        <v>49</v>
      </c>
      <c r="D198" s="3">
        <v>45982</v>
      </c>
      <c r="E198" s="2">
        <v>0</v>
      </c>
      <c r="F198" s="2">
        <v>232</v>
      </c>
      <c r="G198" s="2">
        <v>13</v>
      </c>
      <c r="H198" s="2">
        <v>1</v>
      </c>
      <c r="I198" s="4">
        <v>0.17291699999999999</v>
      </c>
      <c r="J198" s="5">
        <v>45985.312523148146</v>
      </c>
    </row>
    <row r="199" spans="1:10" x14ac:dyDescent="0.25">
      <c r="A199" s="2">
        <v>137</v>
      </c>
      <c r="B199" s="3">
        <v>45990</v>
      </c>
      <c r="C199" s="1" t="s">
        <v>49</v>
      </c>
      <c r="D199" s="3">
        <v>45990</v>
      </c>
      <c r="E199" s="2">
        <v>0</v>
      </c>
      <c r="F199" s="2">
        <v>125</v>
      </c>
      <c r="G199" s="2">
        <v>8</v>
      </c>
      <c r="H199" s="2">
        <v>3</v>
      </c>
      <c r="I199" s="4">
        <v>0.109028</v>
      </c>
      <c r="J199" s="5">
        <v>45992.312534722223</v>
      </c>
    </row>
    <row r="200" spans="1:10" x14ac:dyDescent="0.25">
      <c r="A200" s="2">
        <v>187</v>
      </c>
      <c r="B200" s="3">
        <v>45997</v>
      </c>
      <c r="C200" s="1" t="s">
        <v>49</v>
      </c>
      <c r="D200" s="3">
        <v>45997</v>
      </c>
      <c r="E200" s="2">
        <v>0</v>
      </c>
      <c r="F200" s="2">
        <v>97</v>
      </c>
      <c r="G200" s="2">
        <v>5</v>
      </c>
      <c r="H200" s="2">
        <v>3</v>
      </c>
      <c r="I200" s="4">
        <v>0.13263900000000001</v>
      </c>
      <c r="J200" s="5">
        <v>45999.312523148146</v>
      </c>
    </row>
    <row r="201" spans="1:10" x14ac:dyDescent="0.25">
      <c r="A201" s="2">
        <v>237</v>
      </c>
      <c r="B201" s="3">
        <v>46003</v>
      </c>
      <c r="C201" s="1" t="s">
        <v>49</v>
      </c>
      <c r="D201" s="3">
        <v>46003</v>
      </c>
      <c r="E201" s="2">
        <v>0</v>
      </c>
      <c r="F201" s="2">
        <v>66</v>
      </c>
      <c r="G201" s="2">
        <v>8</v>
      </c>
      <c r="H201" s="2">
        <v>1</v>
      </c>
      <c r="I201" s="4">
        <v>9.6528000000000003E-2</v>
      </c>
      <c r="J201" s="5">
        <v>46006.312523148146</v>
      </c>
    </row>
    <row r="202" spans="1:10" x14ac:dyDescent="0.25">
      <c r="A202" s="2">
        <v>44</v>
      </c>
      <c r="B202" s="3">
        <v>45977</v>
      </c>
      <c r="C202" s="1" t="s">
        <v>50</v>
      </c>
      <c r="D202" s="3">
        <v>45975</v>
      </c>
      <c r="E202" s="2">
        <v>0</v>
      </c>
      <c r="F202" s="2">
        <v>212</v>
      </c>
      <c r="G202" s="2">
        <v>9</v>
      </c>
      <c r="H202" s="2">
        <v>0</v>
      </c>
      <c r="I202" s="4">
        <v>9.7219999999999997E-3</v>
      </c>
      <c r="J202" s="5">
        <v>45979.454722222225</v>
      </c>
    </row>
    <row r="203" spans="1:10" x14ac:dyDescent="0.25">
      <c r="A203" s="2">
        <v>94</v>
      </c>
      <c r="B203" s="3">
        <v>45983</v>
      </c>
      <c r="C203" s="1" t="s">
        <v>50</v>
      </c>
      <c r="D203" s="3">
        <v>45983</v>
      </c>
      <c r="E203" s="2">
        <v>0</v>
      </c>
      <c r="F203" s="2">
        <v>41</v>
      </c>
      <c r="G203" s="2">
        <v>3</v>
      </c>
      <c r="H203" s="2">
        <v>0</v>
      </c>
      <c r="I203" s="2">
        <v>3.4719999999999998E-3</v>
      </c>
      <c r="J203" s="5">
        <v>45985.312523148146</v>
      </c>
    </row>
    <row r="204" spans="1:10" x14ac:dyDescent="0.25">
      <c r="A204" s="2">
        <v>144</v>
      </c>
      <c r="B204" s="3">
        <v>45990</v>
      </c>
      <c r="C204" s="1" t="s">
        <v>50</v>
      </c>
      <c r="D204" s="3">
        <v>45990</v>
      </c>
      <c r="E204" s="2">
        <v>0</v>
      </c>
      <c r="F204" s="2">
        <v>38</v>
      </c>
      <c r="G204" s="2">
        <v>0</v>
      </c>
      <c r="H204" s="2">
        <v>0</v>
      </c>
      <c r="I204" s="2">
        <v>0</v>
      </c>
      <c r="J204" s="5">
        <v>45992.312534722223</v>
      </c>
    </row>
    <row r="205" spans="1:10" x14ac:dyDescent="0.25">
      <c r="A205" s="2">
        <v>194</v>
      </c>
      <c r="B205" s="3">
        <v>45997</v>
      </c>
      <c r="C205" s="1" t="s">
        <v>50</v>
      </c>
      <c r="D205" s="3">
        <v>45997</v>
      </c>
      <c r="E205" s="2">
        <v>0</v>
      </c>
      <c r="F205" s="2">
        <v>102</v>
      </c>
      <c r="G205" s="2">
        <v>4</v>
      </c>
      <c r="H205" s="2">
        <v>0</v>
      </c>
      <c r="I205" s="2">
        <v>3.4719999999999998E-3</v>
      </c>
      <c r="J205" s="5">
        <v>45999.312523148146</v>
      </c>
    </row>
    <row r="206" spans="1:10" x14ac:dyDescent="0.25">
      <c r="A206" s="2">
        <v>244</v>
      </c>
      <c r="B206" s="3">
        <v>46003</v>
      </c>
      <c r="C206" s="1" t="s">
        <v>50</v>
      </c>
      <c r="D206" s="3">
        <v>46003</v>
      </c>
      <c r="E206" s="2">
        <v>0</v>
      </c>
      <c r="F206" s="2">
        <v>47</v>
      </c>
      <c r="G206" s="2">
        <v>2</v>
      </c>
      <c r="H206" s="2">
        <v>0</v>
      </c>
      <c r="I206" s="2">
        <v>1.389E-3</v>
      </c>
      <c r="J206" s="5">
        <v>46006.312523148146</v>
      </c>
    </row>
    <row r="207" spans="1:10" x14ac:dyDescent="0.25">
      <c r="A207" s="2">
        <v>2</v>
      </c>
      <c r="B207" s="3">
        <v>45977</v>
      </c>
      <c r="C207" s="1" t="s">
        <v>51</v>
      </c>
      <c r="D207" s="3">
        <v>45975</v>
      </c>
      <c r="E207" s="2">
        <v>0</v>
      </c>
      <c r="F207" s="2">
        <v>470</v>
      </c>
      <c r="G207" s="2">
        <v>30</v>
      </c>
      <c r="H207" s="2">
        <v>18</v>
      </c>
      <c r="I207" s="4">
        <v>0.879861</v>
      </c>
      <c r="J207" s="5">
        <v>45979.454722222225</v>
      </c>
    </row>
    <row r="208" spans="1:10" x14ac:dyDescent="0.25">
      <c r="A208" s="2">
        <v>52</v>
      </c>
      <c r="B208" s="3">
        <v>45983</v>
      </c>
      <c r="C208" s="1" t="s">
        <v>51</v>
      </c>
      <c r="D208" s="3">
        <v>45983</v>
      </c>
      <c r="E208" s="2">
        <v>0</v>
      </c>
      <c r="F208" s="2">
        <v>154</v>
      </c>
      <c r="G208" s="2">
        <v>4</v>
      </c>
      <c r="H208" s="2">
        <v>6</v>
      </c>
      <c r="I208" s="4">
        <v>0.19930600000000001</v>
      </c>
      <c r="J208" s="5">
        <v>45985.312523148146</v>
      </c>
    </row>
    <row r="209" spans="1:10" x14ac:dyDescent="0.25">
      <c r="A209" s="2">
        <v>102</v>
      </c>
      <c r="B209" s="3">
        <v>45990</v>
      </c>
      <c r="C209" s="1" t="s">
        <v>51</v>
      </c>
      <c r="D209" s="3">
        <v>45990</v>
      </c>
      <c r="E209" s="2">
        <v>0</v>
      </c>
      <c r="F209" s="2">
        <v>76</v>
      </c>
      <c r="G209" s="2">
        <v>4</v>
      </c>
      <c r="H209" s="2">
        <v>4</v>
      </c>
      <c r="I209" s="4">
        <v>0.17777799999999999</v>
      </c>
      <c r="J209" s="5">
        <v>45992.312523148146</v>
      </c>
    </row>
    <row r="210" spans="1:10" x14ac:dyDescent="0.25">
      <c r="A210" s="2">
        <v>152</v>
      </c>
      <c r="B210" s="3">
        <v>45997</v>
      </c>
      <c r="C210" s="1" t="s">
        <v>51</v>
      </c>
      <c r="D210" s="3">
        <v>45997</v>
      </c>
      <c r="E210" s="2">
        <v>0</v>
      </c>
      <c r="F210" s="2">
        <v>89</v>
      </c>
      <c r="G210" s="2">
        <v>9</v>
      </c>
      <c r="H210" s="2">
        <v>2</v>
      </c>
      <c r="I210" s="4">
        <v>0.111111</v>
      </c>
      <c r="J210" s="5">
        <v>45999.312523148146</v>
      </c>
    </row>
    <row r="211" spans="1:10" x14ac:dyDescent="0.25">
      <c r="A211" s="2">
        <v>202</v>
      </c>
      <c r="B211" s="3">
        <v>46003</v>
      </c>
      <c r="C211" s="1" t="s">
        <v>51</v>
      </c>
      <c r="D211" s="3">
        <v>46003</v>
      </c>
      <c r="E211" s="2">
        <v>0</v>
      </c>
      <c r="F211" s="2">
        <v>55</v>
      </c>
      <c r="G211" s="2">
        <v>3</v>
      </c>
      <c r="H211" s="2">
        <v>2</v>
      </c>
      <c r="I211" s="4">
        <v>6.6667000000000004E-2</v>
      </c>
      <c r="J211" s="5">
        <v>46006.312523148146</v>
      </c>
    </row>
    <row r="212" spans="1:10" x14ac:dyDescent="0.25">
      <c r="A212" s="2">
        <v>18</v>
      </c>
      <c r="B212" s="3">
        <v>45977</v>
      </c>
      <c r="C212" s="1" t="s">
        <v>52</v>
      </c>
      <c r="D212" s="3">
        <v>45975</v>
      </c>
      <c r="E212" s="2">
        <v>0</v>
      </c>
      <c r="F212" s="2">
        <v>2533</v>
      </c>
      <c r="G212" s="2">
        <v>27</v>
      </c>
      <c r="H212" s="2">
        <v>2</v>
      </c>
      <c r="I212" s="4">
        <v>9.2360999999999999E-2</v>
      </c>
      <c r="J212" s="5">
        <v>45979.454722222225</v>
      </c>
    </row>
    <row r="213" spans="1:10" x14ac:dyDescent="0.25">
      <c r="A213" s="2">
        <v>68</v>
      </c>
      <c r="B213" s="3">
        <v>45983</v>
      </c>
      <c r="C213" s="1" t="s">
        <v>52</v>
      </c>
      <c r="D213" s="3">
        <v>45975</v>
      </c>
      <c r="E213" s="2">
        <v>0</v>
      </c>
      <c r="F213" s="2">
        <v>0</v>
      </c>
      <c r="G213" s="2">
        <v>0</v>
      </c>
      <c r="H213" s="2">
        <v>0</v>
      </c>
      <c r="I213" s="2">
        <v>0</v>
      </c>
      <c r="J213" s="5">
        <v>45985.312523148146</v>
      </c>
    </row>
    <row r="214" spans="1:10" x14ac:dyDescent="0.25">
      <c r="A214" s="2">
        <v>118</v>
      </c>
      <c r="B214" s="3">
        <v>45990</v>
      </c>
      <c r="C214" s="1" t="s">
        <v>52</v>
      </c>
      <c r="D214" s="3">
        <v>45989</v>
      </c>
      <c r="E214" s="2">
        <v>0</v>
      </c>
      <c r="F214" s="2">
        <v>411</v>
      </c>
      <c r="G214" s="2">
        <v>8</v>
      </c>
      <c r="H214" s="2">
        <v>1</v>
      </c>
      <c r="I214" s="4">
        <v>4.3749999999999997E-2</v>
      </c>
      <c r="J214" s="5">
        <v>45992.312523148146</v>
      </c>
    </row>
    <row r="215" spans="1:10" x14ac:dyDescent="0.25">
      <c r="A215" s="2">
        <v>168</v>
      </c>
      <c r="B215" s="3">
        <v>45997</v>
      </c>
      <c r="C215" s="1" t="s">
        <v>52</v>
      </c>
      <c r="D215" s="3">
        <v>45997</v>
      </c>
      <c r="E215" s="2">
        <v>0</v>
      </c>
      <c r="F215" s="2">
        <v>433</v>
      </c>
      <c r="G215" s="2">
        <v>3</v>
      </c>
      <c r="H215" s="2">
        <v>0</v>
      </c>
      <c r="I215" s="4">
        <v>1.0416999999999999E-2</v>
      </c>
      <c r="J215" s="5">
        <v>45999.312523148146</v>
      </c>
    </row>
    <row r="216" spans="1:10" x14ac:dyDescent="0.25">
      <c r="A216" s="2">
        <v>218</v>
      </c>
      <c r="B216" s="3">
        <v>46003</v>
      </c>
      <c r="C216" s="1" t="s">
        <v>52</v>
      </c>
      <c r="D216" s="3">
        <v>46003</v>
      </c>
      <c r="E216" s="2">
        <v>0</v>
      </c>
      <c r="F216" s="2">
        <v>237</v>
      </c>
      <c r="G216" s="2">
        <v>3</v>
      </c>
      <c r="H216" s="2">
        <v>1</v>
      </c>
      <c r="I216" s="4">
        <v>0.105556</v>
      </c>
      <c r="J216" s="5">
        <v>46006.312523148146</v>
      </c>
    </row>
    <row r="217" spans="1:10" x14ac:dyDescent="0.25">
      <c r="A217" s="2">
        <v>23</v>
      </c>
      <c r="B217" s="3">
        <v>45977</v>
      </c>
      <c r="C217" s="1" t="s">
        <v>53</v>
      </c>
      <c r="D217" s="3">
        <v>45977</v>
      </c>
      <c r="E217" s="2">
        <v>0</v>
      </c>
      <c r="F217" s="2">
        <v>414</v>
      </c>
      <c r="G217" s="2">
        <v>39</v>
      </c>
      <c r="H217" s="2">
        <v>11</v>
      </c>
      <c r="I217" s="4">
        <v>0.51249999999999996</v>
      </c>
      <c r="J217" s="5">
        <v>45979.454722222225</v>
      </c>
    </row>
    <row r="218" spans="1:10" x14ac:dyDescent="0.25">
      <c r="A218" s="2">
        <v>73</v>
      </c>
      <c r="B218" s="3">
        <v>45983</v>
      </c>
      <c r="C218" s="1" t="s">
        <v>53</v>
      </c>
      <c r="D218" s="3">
        <v>45983</v>
      </c>
      <c r="E218" s="2">
        <v>0</v>
      </c>
      <c r="F218" s="2">
        <v>109</v>
      </c>
      <c r="G218" s="2">
        <v>8</v>
      </c>
      <c r="H218" s="2">
        <v>2</v>
      </c>
      <c r="I218" s="4">
        <v>3.8193999999999999E-2</v>
      </c>
      <c r="J218" s="5">
        <v>45985.312523148146</v>
      </c>
    </row>
    <row r="219" spans="1:10" x14ac:dyDescent="0.25">
      <c r="A219" s="2">
        <v>123</v>
      </c>
      <c r="B219" s="3">
        <v>45990</v>
      </c>
      <c r="C219" s="1" t="s">
        <v>53</v>
      </c>
      <c r="D219" s="3">
        <v>45990</v>
      </c>
      <c r="E219" s="2">
        <v>0</v>
      </c>
      <c r="F219" s="2">
        <v>121</v>
      </c>
      <c r="G219" s="2">
        <v>14</v>
      </c>
      <c r="H219" s="2">
        <v>1</v>
      </c>
      <c r="I219" s="4">
        <v>5.4167E-2</v>
      </c>
      <c r="J219" s="5">
        <v>45992.312523148146</v>
      </c>
    </row>
    <row r="220" spans="1:10" x14ac:dyDescent="0.25">
      <c r="A220" s="2">
        <v>173</v>
      </c>
      <c r="B220" s="3">
        <v>45997</v>
      </c>
      <c r="C220" s="1" t="s">
        <v>53</v>
      </c>
      <c r="D220" s="3">
        <v>45997</v>
      </c>
      <c r="E220" s="2">
        <v>0</v>
      </c>
      <c r="F220" s="2">
        <v>96</v>
      </c>
      <c r="G220" s="2">
        <v>11</v>
      </c>
      <c r="H220" s="2">
        <v>0</v>
      </c>
      <c r="I220" s="4">
        <v>3.7499999999999999E-2</v>
      </c>
      <c r="J220" s="5">
        <v>45999.312523148146</v>
      </c>
    </row>
    <row r="221" spans="1:10" x14ac:dyDescent="0.25">
      <c r="A221" s="2">
        <v>223</v>
      </c>
      <c r="B221" s="3">
        <v>46003</v>
      </c>
      <c r="C221" s="1" t="s">
        <v>53</v>
      </c>
      <c r="D221" s="3">
        <v>46003</v>
      </c>
      <c r="E221" s="2">
        <v>0</v>
      </c>
      <c r="F221" s="2">
        <v>61</v>
      </c>
      <c r="G221" s="2">
        <v>3</v>
      </c>
      <c r="H221" s="2">
        <v>0</v>
      </c>
      <c r="I221" s="4">
        <v>1.4583E-2</v>
      </c>
      <c r="J221" s="5">
        <v>46006.312523148146</v>
      </c>
    </row>
    <row r="222" spans="1:10" x14ac:dyDescent="0.25">
      <c r="A222" s="2">
        <v>21</v>
      </c>
      <c r="B222" s="3">
        <v>45977</v>
      </c>
      <c r="C222" s="1" t="s">
        <v>54</v>
      </c>
      <c r="D222" s="3">
        <v>45976</v>
      </c>
      <c r="E222" s="2">
        <v>0</v>
      </c>
      <c r="F222" s="2">
        <v>750</v>
      </c>
      <c r="G222" s="2">
        <v>100</v>
      </c>
      <c r="H222" s="2">
        <v>50</v>
      </c>
      <c r="I222" s="4">
        <v>2.1979169999999999</v>
      </c>
      <c r="J222" s="5">
        <v>45979.454722222225</v>
      </c>
    </row>
    <row r="223" spans="1:10" x14ac:dyDescent="0.25">
      <c r="A223" s="2">
        <v>71</v>
      </c>
      <c r="B223" s="3">
        <v>45983</v>
      </c>
      <c r="C223" s="1" t="s">
        <v>54</v>
      </c>
      <c r="D223" s="3">
        <v>45982</v>
      </c>
      <c r="E223" s="2">
        <v>0</v>
      </c>
      <c r="F223" s="2">
        <v>260</v>
      </c>
      <c r="G223" s="2">
        <v>23</v>
      </c>
      <c r="H223" s="2">
        <v>23</v>
      </c>
      <c r="I223" s="4">
        <v>0.60694400000000004</v>
      </c>
      <c r="J223" s="5">
        <v>45985.312523148146</v>
      </c>
    </row>
    <row r="224" spans="1:10" x14ac:dyDescent="0.25">
      <c r="A224" s="2">
        <v>121</v>
      </c>
      <c r="B224" s="3">
        <v>45990</v>
      </c>
      <c r="C224" s="1" t="s">
        <v>54</v>
      </c>
      <c r="D224" s="3">
        <v>45989</v>
      </c>
      <c r="E224" s="2">
        <v>0</v>
      </c>
      <c r="F224" s="2">
        <v>144</v>
      </c>
      <c r="G224" s="2">
        <v>25</v>
      </c>
      <c r="H224" s="2">
        <v>11</v>
      </c>
      <c r="I224" s="4">
        <v>0.38541700000000001</v>
      </c>
      <c r="J224" s="5">
        <v>45992.312523148146</v>
      </c>
    </row>
    <row r="225" spans="1:10" x14ac:dyDescent="0.25">
      <c r="A225" s="2">
        <v>171</v>
      </c>
      <c r="B225" s="3">
        <v>45997</v>
      </c>
      <c r="C225" s="1" t="s">
        <v>54</v>
      </c>
      <c r="D225" s="3">
        <v>45996</v>
      </c>
      <c r="E225" s="2">
        <v>0</v>
      </c>
      <c r="F225" s="2">
        <v>132</v>
      </c>
      <c r="G225" s="2">
        <v>37</v>
      </c>
      <c r="H225" s="2">
        <v>19</v>
      </c>
      <c r="I225" s="4">
        <v>0.64583299999999999</v>
      </c>
      <c r="J225" s="5">
        <v>45999.312523148146</v>
      </c>
    </row>
    <row r="226" spans="1:10" x14ac:dyDescent="0.25">
      <c r="A226" s="2">
        <v>221</v>
      </c>
      <c r="B226" s="3">
        <v>46003</v>
      </c>
      <c r="C226" s="1" t="s">
        <v>54</v>
      </c>
      <c r="D226" s="3">
        <v>46003</v>
      </c>
      <c r="E226" s="2">
        <v>0</v>
      </c>
      <c r="F226" s="2">
        <v>8</v>
      </c>
      <c r="G226" s="2">
        <v>16</v>
      </c>
      <c r="H226" s="2">
        <v>10</v>
      </c>
      <c r="I226" s="4">
        <v>0.20138900000000001</v>
      </c>
      <c r="J226" s="5">
        <v>46006.312523148146</v>
      </c>
    </row>
    <row r="227" spans="1:10" x14ac:dyDescent="0.25">
      <c r="A227" s="2">
        <v>49</v>
      </c>
      <c r="B227" s="3">
        <v>45977</v>
      </c>
      <c r="C227" s="1" t="s">
        <v>55</v>
      </c>
      <c r="D227" s="3">
        <v>45977</v>
      </c>
      <c r="E227" s="2">
        <v>0</v>
      </c>
      <c r="F227" s="2">
        <v>1019</v>
      </c>
      <c r="G227" s="2">
        <v>1</v>
      </c>
      <c r="H227" s="2">
        <v>6</v>
      </c>
      <c r="I227" s="4">
        <v>7.7082999999999999E-2</v>
      </c>
      <c r="J227" s="5">
        <v>45979.454722222225</v>
      </c>
    </row>
    <row r="228" spans="1:10" x14ac:dyDescent="0.25">
      <c r="A228" s="2">
        <v>99</v>
      </c>
      <c r="B228" s="3">
        <v>45983</v>
      </c>
      <c r="C228" s="1" t="s">
        <v>55</v>
      </c>
      <c r="D228" s="3">
        <v>45982</v>
      </c>
      <c r="E228" s="2">
        <v>0</v>
      </c>
      <c r="F228" s="2">
        <v>260</v>
      </c>
      <c r="G228" s="2">
        <v>0</v>
      </c>
      <c r="H228" s="2">
        <v>1</v>
      </c>
      <c r="I228" s="4">
        <v>2.1527999999999999E-2</v>
      </c>
      <c r="J228" s="5">
        <v>45985.312523148146</v>
      </c>
    </row>
    <row r="229" spans="1:10" x14ac:dyDescent="0.25">
      <c r="A229" s="2">
        <v>149</v>
      </c>
      <c r="B229" s="3">
        <v>45990</v>
      </c>
      <c r="C229" s="1" t="s">
        <v>55</v>
      </c>
      <c r="D229" s="3">
        <v>45988</v>
      </c>
      <c r="E229" s="2">
        <v>0</v>
      </c>
      <c r="F229" s="2">
        <v>206</v>
      </c>
      <c r="G229" s="2">
        <v>0</v>
      </c>
      <c r="H229" s="2">
        <v>2</v>
      </c>
      <c r="I229" s="4">
        <v>2.8472000000000001E-2</v>
      </c>
      <c r="J229" s="5">
        <v>45992.312534722223</v>
      </c>
    </row>
    <row r="230" spans="1:10" x14ac:dyDescent="0.25">
      <c r="A230" s="2">
        <v>199</v>
      </c>
      <c r="B230" s="3">
        <v>45997</v>
      </c>
      <c r="C230" s="1" t="s">
        <v>55</v>
      </c>
      <c r="D230" s="3">
        <v>45996</v>
      </c>
      <c r="E230" s="2">
        <v>0</v>
      </c>
      <c r="F230" s="2">
        <v>52</v>
      </c>
      <c r="G230" s="2">
        <v>0</v>
      </c>
      <c r="H230" s="2">
        <v>0</v>
      </c>
      <c r="I230" s="2">
        <v>0</v>
      </c>
      <c r="J230" s="5">
        <v>45999.312523148146</v>
      </c>
    </row>
    <row r="231" spans="1:10" x14ac:dyDescent="0.25">
      <c r="A231" s="2">
        <v>249</v>
      </c>
      <c r="B231" s="3">
        <v>46003</v>
      </c>
      <c r="C231" s="1" t="s">
        <v>55</v>
      </c>
      <c r="D231" s="3">
        <v>46003</v>
      </c>
      <c r="E231" s="2">
        <v>0</v>
      </c>
      <c r="F231" s="2">
        <v>5</v>
      </c>
      <c r="G231" s="2">
        <v>0</v>
      </c>
      <c r="H231" s="2">
        <v>0</v>
      </c>
      <c r="I231" s="2">
        <v>0</v>
      </c>
      <c r="J231" s="5">
        <v>46006.312523148146</v>
      </c>
    </row>
    <row r="232" spans="1:10" x14ac:dyDescent="0.25">
      <c r="A232" s="2">
        <v>45</v>
      </c>
      <c r="B232" s="3">
        <v>45977</v>
      </c>
      <c r="C232" s="1" t="s">
        <v>56</v>
      </c>
      <c r="D232" s="3">
        <v>45975</v>
      </c>
      <c r="E232" s="2">
        <v>0</v>
      </c>
      <c r="F232" s="2">
        <v>391</v>
      </c>
      <c r="G232" s="2">
        <v>15</v>
      </c>
      <c r="H232" s="2">
        <v>13</v>
      </c>
      <c r="I232" s="4">
        <v>0.81944399999999995</v>
      </c>
      <c r="J232" s="5">
        <v>45979.454722222225</v>
      </c>
    </row>
    <row r="233" spans="1:10" x14ac:dyDescent="0.25">
      <c r="A233" s="2">
        <v>95</v>
      </c>
      <c r="B233" s="3">
        <v>45983</v>
      </c>
      <c r="C233" s="1" t="s">
        <v>56</v>
      </c>
      <c r="D233" s="3">
        <v>45982</v>
      </c>
      <c r="E233" s="2">
        <v>0</v>
      </c>
      <c r="F233" s="2">
        <v>217</v>
      </c>
      <c r="G233" s="2">
        <v>8</v>
      </c>
      <c r="H233" s="2">
        <v>0</v>
      </c>
      <c r="I233" s="4">
        <v>2.5694000000000002E-2</v>
      </c>
      <c r="J233" s="5">
        <v>45985.312523148146</v>
      </c>
    </row>
    <row r="234" spans="1:10" x14ac:dyDescent="0.25">
      <c r="A234" s="2">
        <v>145</v>
      </c>
      <c r="B234" s="3">
        <v>45990</v>
      </c>
      <c r="C234" s="1" t="s">
        <v>56</v>
      </c>
      <c r="D234" s="3">
        <v>45989</v>
      </c>
      <c r="E234" s="2">
        <v>0</v>
      </c>
      <c r="F234" s="2">
        <v>158</v>
      </c>
      <c r="G234" s="2">
        <v>5</v>
      </c>
      <c r="H234" s="2">
        <v>4</v>
      </c>
      <c r="I234" s="4">
        <v>0.105556</v>
      </c>
      <c r="J234" s="5">
        <v>45992.312534722223</v>
      </c>
    </row>
    <row r="235" spans="1:10" x14ac:dyDescent="0.25">
      <c r="A235" s="2">
        <v>195</v>
      </c>
      <c r="B235" s="3">
        <v>45997</v>
      </c>
      <c r="C235" s="1" t="s">
        <v>56</v>
      </c>
      <c r="D235" s="3">
        <v>45996</v>
      </c>
      <c r="E235" s="2">
        <v>0</v>
      </c>
      <c r="F235" s="2">
        <v>100</v>
      </c>
      <c r="G235" s="2">
        <v>6</v>
      </c>
      <c r="H235" s="2">
        <v>0</v>
      </c>
      <c r="I235" s="4">
        <v>2.9166999999999998E-2</v>
      </c>
      <c r="J235" s="5">
        <v>45999.312523148146</v>
      </c>
    </row>
    <row r="236" spans="1:10" x14ac:dyDescent="0.25">
      <c r="A236" s="2">
        <v>245</v>
      </c>
      <c r="B236" s="3">
        <v>46003</v>
      </c>
      <c r="C236" s="1" t="s">
        <v>56</v>
      </c>
      <c r="D236" s="3">
        <v>46003</v>
      </c>
      <c r="E236" s="2">
        <v>0</v>
      </c>
      <c r="F236" s="2">
        <v>58</v>
      </c>
      <c r="G236" s="2">
        <v>3</v>
      </c>
      <c r="H236" s="2">
        <v>0</v>
      </c>
      <c r="I236" s="4">
        <v>6.9439999999999997E-3</v>
      </c>
      <c r="J236" s="5">
        <v>46006.312523148146</v>
      </c>
    </row>
    <row r="237" spans="1:10" x14ac:dyDescent="0.25">
      <c r="A237" s="2">
        <v>46</v>
      </c>
      <c r="B237" s="3">
        <v>45977</v>
      </c>
      <c r="C237" s="1" t="s">
        <v>57</v>
      </c>
      <c r="D237" s="3">
        <v>45975</v>
      </c>
      <c r="E237" s="2">
        <v>0</v>
      </c>
      <c r="F237" s="2">
        <v>426</v>
      </c>
      <c r="G237" s="2">
        <v>34</v>
      </c>
      <c r="H237" s="2">
        <v>12</v>
      </c>
      <c r="I237" s="4">
        <v>0.93055600000000005</v>
      </c>
      <c r="J237" s="5">
        <v>45979.454722222225</v>
      </c>
    </row>
    <row r="238" spans="1:10" x14ac:dyDescent="0.25">
      <c r="A238" s="2">
        <v>96</v>
      </c>
      <c r="B238" s="3">
        <v>45983</v>
      </c>
      <c r="C238" s="1" t="s">
        <v>57</v>
      </c>
      <c r="D238" s="3">
        <v>45982</v>
      </c>
      <c r="E238" s="2">
        <v>0</v>
      </c>
      <c r="F238" s="2">
        <v>159</v>
      </c>
      <c r="G238" s="2">
        <v>15</v>
      </c>
      <c r="H238" s="2">
        <v>12</v>
      </c>
      <c r="I238" s="4">
        <v>0.55277799999999999</v>
      </c>
      <c r="J238" s="5">
        <v>45985.312523148146</v>
      </c>
    </row>
    <row r="239" spans="1:10" x14ac:dyDescent="0.25">
      <c r="A239" s="2">
        <v>146</v>
      </c>
      <c r="B239" s="3">
        <v>45990</v>
      </c>
      <c r="C239" s="1" t="s">
        <v>57</v>
      </c>
      <c r="D239" s="3">
        <v>45989</v>
      </c>
      <c r="E239" s="2">
        <v>0</v>
      </c>
      <c r="F239" s="2">
        <v>85</v>
      </c>
      <c r="G239" s="2">
        <v>17</v>
      </c>
      <c r="H239" s="2">
        <v>5</v>
      </c>
      <c r="I239" s="4">
        <v>0.21180599999999999</v>
      </c>
      <c r="J239" s="5">
        <v>45992.312534722223</v>
      </c>
    </row>
    <row r="240" spans="1:10" x14ac:dyDescent="0.25">
      <c r="A240" s="2">
        <v>196</v>
      </c>
      <c r="B240" s="3">
        <v>45997</v>
      </c>
      <c r="C240" s="1" t="s">
        <v>57</v>
      </c>
      <c r="D240" s="3">
        <v>45996</v>
      </c>
      <c r="E240" s="2">
        <v>0</v>
      </c>
      <c r="F240" s="2">
        <v>154</v>
      </c>
      <c r="G240" s="2">
        <v>15</v>
      </c>
      <c r="H240" s="2">
        <v>8</v>
      </c>
      <c r="I240" s="4">
        <v>0.61180599999999996</v>
      </c>
      <c r="J240" s="5">
        <v>45999.312523148146</v>
      </c>
    </row>
    <row r="241" spans="1:10" x14ac:dyDescent="0.25">
      <c r="A241" s="2">
        <v>246</v>
      </c>
      <c r="B241" s="3">
        <v>46003</v>
      </c>
      <c r="C241" s="1" t="s">
        <v>57</v>
      </c>
      <c r="D241" s="3">
        <v>46003</v>
      </c>
      <c r="E241" s="2">
        <v>0</v>
      </c>
      <c r="F241" s="2">
        <v>44</v>
      </c>
      <c r="G241" s="2">
        <v>11</v>
      </c>
      <c r="H241" s="2">
        <v>5</v>
      </c>
      <c r="I241" s="4">
        <v>0.36736099999999999</v>
      </c>
      <c r="J241" s="5">
        <v>46006.312523148146</v>
      </c>
    </row>
    <row r="242" spans="1:10" x14ac:dyDescent="0.25">
      <c r="A242" s="2">
        <v>33</v>
      </c>
      <c r="B242" s="3">
        <v>45977</v>
      </c>
      <c r="C242" s="1" t="s">
        <v>58</v>
      </c>
      <c r="D242" s="3">
        <v>45976</v>
      </c>
      <c r="E242" s="2">
        <v>0</v>
      </c>
      <c r="F242" s="2">
        <v>366</v>
      </c>
      <c r="G242" s="2">
        <v>35</v>
      </c>
      <c r="H242" s="2">
        <v>16</v>
      </c>
      <c r="I242" s="4">
        <v>1.170139</v>
      </c>
      <c r="J242" s="5">
        <v>45979.454722222225</v>
      </c>
    </row>
    <row r="243" spans="1:10" x14ac:dyDescent="0.25">
      <c r="A243" s="2">
        <v>83</v>
      </c>
      <c r="B243" s="3">
        <v>45983</v>
      </c>
      <c r="C243" s="1" t="s">
        <v>58</v>
      </c>
      <c r="D243" s="3">
        <v>45982</v>
      </c>
      <c r="E243" s="2">
        <v>0</v>
      </c>
      <c r="F243" s="2">
        <v>91</v>
      </c>
      <c r="G243" s="2">
        <v>8</v>
      </c>
      <c r="H243" s="2">
        <v>6</v>
      </c>
      <c r="I243" s="4">
        <v>0.34791699999999998</v>
      </c>
      <c r="J243" s="5">
        <v>45985.312523148146</v>
      </c>
    </row>
    <row r="244" spans="1:10" x14ac:dyDescent="0.25">
      <c r="A244" s="2">
        <v>133</v>
      </c>
      <c r="B244" s="3">
        <v>45990</v>
      </c>
      <c r="C244" s="1" t="s">
        <v>58</v>
      </c>
      <c r="D244" s="3">
        <v>45989</v>
      </c>
      <c r="E244" s="2">
        <v>0</v>
      </c>
      <c r="F244" s="2">
        <v>114</v>
      </c>
      <c r="G244" s="2">
        <v>13</v>
      </c>
      <c r="H244" s="2">
        <v>5</v>
      </c>
      <c r="I244" s="4">
        <v>0.22638900000000001</v>
      </c>
      <c r="J244" s="5">
        <v>45992.312534722223</v>
      </c>
    </row>
    <row r="245" spans="1:10" x14ac:dyDescent="0.25">
      <c r="A245" s="2">
        <v>183</v>
      </c>
      <c r="B245" s="3">
        <v>45997</v>
      </c>
      <c r="C245" s="1" t="s">
        <v>58</v>
      </c>
      <c r="D245" s="3">
        <v>45996</v>
      </c>
      <c r="E245" s="2">
        <v>0</v>
      </c>
      <c r="F245" s="2">
        <v>84</v>
      </c>
      <c r="G245" s="2">
        <v>9</v>
      </c>
      <c r="H245" s="2">
        <v>3</v>
      </c>
      <c r="I245" s="4">
        <v>0.15625</v>
      </c>
      <c r="J245" s="5">
        <v>45999.312523148146</v>
      </c>
    </row>
    <row r="246" spans="1:10" x14ac:dyDescent="0.25">
      <c r="A246" s="2">
        <v>233</v>
      </c>
      <c r="B246" s="3">
        <v>46003</v>
      </c>
      <c r="C246" s="1" t="s">
        <v>58</v>
      </c>
      <c r="D246" s="3">
        <v>46003</v>
      </c>
      <c r="E246" s="2">
        <v>0</v>
      </c>
      <c r="F246" s="2">
        <v>72</v>
      </c>
      <c r="G246" s="2">
        <v>7</v>
      </c>
      <c r="H246" s="2">
        <v>4</v>
      </c>
      <c r="I246" s="4">
        <v>0.183333</v>
      </c>
      <c r="J246" s="5">
        <v>46006.312523148146</v>
      </c>
    </row>
    <row r="247" spans="1:10" x14ac:dyDescent="0.25">
      <c r="A247" s="2">
        <v>13</v>
      </c>
      <c r="B247" s="3">
        <v>45977</v>
      </c>
      <c r="C247" s="1" t="s">
        <v>59</v>
      </c>
      <c r="D247" s="3">
        <v>45977</v>
      </c>
      <c r="E247" s="2">
        <v>0</v>
      </c>
      <c r="F247" s="2">
        <v>423</v>
      </c>
      <c r="G247" s="2">
        <v>1</v>
      </c>
      <c r="H247" s="2">
        <v>4</v>
      </c>
      <c r="I247" s="4">
        <v>0.62430600000000003</v>
      </c>
      <c r="J247" s="5">
        <v>45979.454722222225</v>
      </c>
    </row>
    <row r="248" spans="1:10" x14ac:dyDescent="0.25">
      <c r="A248" s="2">
        <v>63</v>
      </c>
      <c r="B248" s="3">
        <v>45983</v>
      </c>
      <c r="C248" s="1" t="s">
        <v>59</v>
      </c>
      <c r="D248" s="3">
        <v>45982</v>
      </c>
      <c r="E248" s="2">
        <v>0</v>
      </c>
      <c r="F248" s="2">
        <v>151</v>
      </c>
      <c r="G248" s="2">
        <v>3</v>
      </c>
      <c r="H248" s="2">
        <v>3</v>
      </c>
      <c r="I248" s="4">
        <v>4.3055999999999997E-2</v>
      </c>
      <c r="J248" s="5">
        <v>45985.312523148146</v>
      </c>
    </row>
    <row r="249" spans="1:10" x14ac:dyDescent="0.25">
      <c r="A249" s="2">
        <v>113</v>
      </c>
      <c r="B249" s="3">
        <v>45990</v>
      </c>
      <c r="C249" s="1" t="s">
        <v>59</v>
      </c>
      <c r="D249" s="3">
        <v>45989</v>
      </c>
      <c r="E249" s="2">
        <v>0</v>
      </c>
      <c r="F249" s="2">
        <v>180</v>
      </c>
      <c r="G249" s="2">
        <v>3</v>
      </c>
      <c r="H249" s="2">
        <v>3</v>
      </c>
      <c r="I249" s="4">
        <v>0.188194</v>
      </c>
      <c r="J249" s="5">
        <v>45992.312523148146</v>
      </c>
    </row>
    <row r="250" spans="1:10" x14ac:dyDescent="0.25">
      <c r="A250" s="2">
        <v>163</v>
      </c>
      <c r="B250" s="3">
        <v>45997</v>
      </c>
      <c r="C250" s="1" t="s">
        <v>59</v>
      </c>
      <c r="D250" s="3">
        <v>45997</v>
      </c>
      <c r="E250" s="2">
        <v>0</v>
      </c>
      <c r="F250" s="2">
        <v>154</v>
      </c>
      <c r="G250" s="2">
        <v>1</v>
      </c>
      <c r="H250" s="2">
        <v>2</v>
      </c>
      <c r="I250" s="4">
        <v>2.5000000000000001E-2</v>
      </c>
      <c r="J250" s="5">
        <v>45999.312523148146</v>
      </c>
    </row>
    <row r="251" spans="1:10" x14ac:dyDescent="0.25">
      <c r="A251" s="2">
        <v>213</v>
      </c>
      <c r="B251" s="3">
        <v>46003</v>
      </c>
      <c r="C251" s="1" t="s">
        <v>59</v>
      </c>
      <c r="D251" s="3">
        <v>46003</v>
      </c>
      <c r="E251" s="2">
        <v>0</v>
      </c>
      <c r="F251" s="2">
        <v>74</v>
      </c>
      <c r="G251" s="2">
        <v>2</v>
      </c>
      <c r="H251" s="2">
        <v>1</v>
      </c>
      <c r="I251" s="4">
        <v>3.1944E-2</v>
      </c>
      <c r="J251" s="5">
        <v>46006.312523148146</v>
      </c>
    </row>
  </sheetData>
  <autoFilter ref="A1:J1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Foglio3</vt:lpstr>
      <vt:lpstr>Risultato della query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Giovanni Capuano</cp:lastModifiedBy>
  <dcterms:created xsi:type="dcterms:W3CDTF">2025-12-16T13:50:23Z</dcterms:created>
  <dcterms:modified xsi:type="dcterms:W3CDTF">2025-12-16T14:27:06Z</dcterms:modified>
</cp:coreProperties>
</file>